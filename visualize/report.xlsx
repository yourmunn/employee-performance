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kplace problems" sheetId="2" state="visible" r:id="rId2"/>
    <sheet name="Groups" sheetId="3" state="visible" r:id="rId3"/>
    <sheet name="Warning signs by group" sheetId="4" state="visible" r:id="rId4"/>
    <sheet name="Groups within a risk level" sheetId="5" state="visible" r:id="rId5"/>
    <sheet name="Actions" sheetId="6" state="visible" r:id="rId6"/>
    <sheet name="Meth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+0.0;-0.0;0.0"/>
    <numFmt numFmtId="167" formatCode="+0.00;-0.00;0.00"/>
    <numFmt numFmtId="168" formatCode="0.000"/>
  </numFmts>
  <fonts count="1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B0B0B"/>
      <sz val="15"/>
    </font>
    <font>
      <name val="Arial"/>
      <i val="1"/>
      <color rgb="004F5260"/>
      <sz val="10"/>
    </font>
    <font>
      <name val="Arial"/>
      <b val="1"/>
      <color rgb="001C5CAB"/>
      <sz val="12"/>
    </font>
    <font>
      <name val="Arial"/>
      <i val="1"/>
      <color rgb="004F5260"/>
      <sz val="9.5"/>
    </font>
    <font>
      <name val="Arial"/>
      <b val="1"/>
      <color rgb="004F5260"/>
      <sz val="10"/>
    </font>
    <font>
      <name val="Arial"/>
      <b val="1"/>
      <color rgb="000B0B0B"/>
      <sz val="10"/>
    </font>
    <font>
      <name val="Arial"/>
      <color rgb="000B0B0B"/>
      <sz val="10"/>
    </font>
    <font>
      <name val="Arial"/>
      <i val="1"/>
      <color rgb="008A8D98"/>
      <sz val="9"/>
    </font>
    <font>
      <name val="Arial"/>
      <color rgb="004F5260"/>
      <sz val="10"/>
    </font>
    <font>
      <name val="Arial"/>
      <b val="1"/>
      <color rgb="000000FF"/>
      <sz val="10"/>
    </font>
    <font>
      <name val="Arial"/>
      <b val="1"/>
      <color rgb="00C23B37"/>
      <sz val="13"/>
    </font>
    <font>
      <name val="Arial"/>
      <color rgb="001C5CAB"/>
      <sz val="10"/>
      <u val="single"/>
    </font>
    <font>
      <name val="Arial"/>
      <b val="1"/>
      <color rgb="001C5CAB"/>
      <sz val="10"/>
      <u val="single"/>
    </font>
  </fonts>
  <fills count="5">
    <fill>
      <patternFill/>
    </fill>
    <fill>
      <patternFill patternType="gray125"/>
    </fill>
    <fill>
      <patternFill patternType="solid">
        <fgColor rgb="00EEF3FB"/>
      </patternFill>
    </fill>
    <fill>
      <patternFill patternType="solid">
        <fgColor rgb="00F4F5F7"/>
      </patternFill>
    </fill>
    <fill>
      <patternFill patternType="solid">
        <fgColor rgb="00DCE9FA"/>
      </patternFill>
    </fill>
  </fills>
  <borders count="3">
    <border>
      <left/>
      <right/>
      <top/>
      <bottom/>
      <diagonal/>
    </border>
    <border>
      <bottom style="thin">
        <color rgb="00E3E4E8"/>
      </bottom>
    </border>
    <border>
      <left/>
      <right/>
      <top/>
      <bottom style="thin">
        <color rgb="00E3E4E8"/>
      </bottom>
      <diagonal/>
    </border>
  </borders>
  <cellStyleXfs count="1">
    <xf numFmtId="0" fontId="1" fillId="0" borderId="0"/>
  </cellStyleXfs>
  <cellXfs count="4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3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8" fillId="0" borderId="0" applyAlignment="1" pivotButton="0" quotePrefix="0" xfId="0">
      <alignment vertical="top" wrapText="1"/>
    </xf>
    <xf numFmtId="0" fontId="14" fillId="0" borderId="1" pivotButton="0" quotePrefix="0" xfId="0"/>
    <xf numFmtId="0" fontId="10" fillId="0" borderId="1" pivotButton="0" quotePrefix="0" xfId="0"/>
    <xf numFmtId="0" fontId="0" fillId="0" borderId="2" pivotButton="0" quotePrefix="0" xfId="0"/>
    <xf numFmtId="0" fontId="10" fillId="0" borderId="0" pivotButton="0" quotePrefix="0" xfId="0"/>
    <xf numFmtId="2" fontId="11" fillId="4" borderId="0" applyAlignment="1" pivotButton="0" quotePrefix="0" xfId="0">
      <alignment horizontal="center"/>
    </xf>
    <xf numFmtId="0" fontId="5" fillId="0" borderId="0" pivotButton="0" quotePrefix="0" xfId="0"/>
    <xf numFmtId="167" fontId="8" fillId="0" borderId="1" applyAlignment="1" pivotButton="0" quotePrefix="0" xfId="0">
      <alignment horizontal="center" vertical="center"/>
    </xf>
    <xf numFmtId="3" fontId="8" fillId="0" borderId="1" pivotButton="0" quotePrefix="0" xfId="0"/>
    <xf numFmtId="164" fontId="8" fillId="0" borderId="1" pivotButton="0" quotePrefix="0" xfId="0"/>
    <xf numFmtId="0" fontId="9" fillId="0" borderId="0" pivotButton="0" quotePrefix="0" xfId="0"/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165" fontId="8" fillId="0" borderId="1" pivotButton="0" quotePrefix="0" xfId="0"/>
    <xf numFmtId="166" fontId="8" fillId="0" borderId="1" pivotButton="0" quotePrefix="0" xfId="0"/>
    <xf numFmtId="2" fontId="8" fillId="0" borderId="1" pivotButton="0" quotePrefix="0" xfId="0"/>
    <xf numFmtId="0" fontId="7" fillId="3" borderId="1" pivotButton="0" quotePrefix="0" xfId="0"/>
    <xf numFmtId="0" fontId="8" fillId="3" borderId="1" pivotButton="0" quotePrefix="0" xfId="0"/>
    <xf numFmtId="3" fontId="7" fillId="3" borderId="1" pivotButton="0" quotePrefix="0" xfId="0"/>
    <xf numFmtId="164" fontId="8" fillId="3" borderId="1" pivotButton="0" quotePrefix="0" xfId="0"/>
    <xf numFmtId="165" fontId="7" fillId="3" borderId="1" pivotButton="0" quotePrefix="0" xfId="0"/>
    <xf numFmtId="164" fontId="7" fillId="3" borderId="1" pivotButton="0" quotePrefix="0" xfId="0"/>
    <xf numFmtId="2" fontId="7" fillId="3" borderId="1" pivotButton="0" quotePrefix="0" xfId="0"/>
    <xf numFmtId="0" fontId="10" fillId="0" borderId="1" applyAlignment="1" pivotButton="0" quotePrefix="0" xfId="0">
      <alignment vertical="top" wrapText="1"/>
    </xf>
    <xf numFmtId="165" fontId="11" fillId="4" borderId="0" applyAlignment="1" pivotButton="0" quotePrefix="0" xfId="0">
      <alignment horizontal="center"/>
    </xf>
    <xf numFmtId="164" fontId="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12" fillId="0" borderId="0" pivotButton="0" quotePrefix="0" xfId="0"/>
    <xf numFmtId="165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168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Arial"/>
        <b val="1"/>
        <color rgb="00C23B37"/>
      </font>
    </dxf>
    <dxf>
      <font>
        <name val="Arial"/>
        <b val="1"/>
        <i val="1"/>
      </font>
      <border>
        <left style="thin">
          <color rgb="000B0B0B"/>
        </left>
        <right style="thin">
          <color rgb="000B0B0B"/>
        </right>
        <top style="thin">
          <color rgb="000B0B0B"/>
        </top>
        <bottom style="thin">
          <color rgb="000B0B0B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Correlation with burnout risk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'Workplace problems'!C8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5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6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7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8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9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10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11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2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3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4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5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6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7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8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9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0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1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2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3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4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cat>
            <numRef>
              <f>'Workplace problems'!$A$9:$A$33</f>
            </numRef>
          </cat>
          <val>
            <numRef>
              <f>'Workplace problems'!$C$9:$C$33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Correlation with productivity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'Workplace problems'!E8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5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6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7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8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9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0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1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2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13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4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15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16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7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8"/>
            <spPr>
              <a:solidFill>
                <a:srgbClr val="C23B37"/>
              </a:solidFill>
              <a:ln>
                <a:noFill/>
                <a:prstDash val="solid"/>
              </a:ln>
            </spPr>
          </dPt>
          <dPt>
            <idx val="19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0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1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2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3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24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cat>
            <numRef>
              <f>'Workplace problems'!$A$9:$A$33</f>
            </numRef>
          </cat>
          <val>
            <numRef>
              <f>'Workplace problems'!$E$9:$E$33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burnout risk and productivity by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'Groups'!F6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'Groups'!$A$7:$A$12</f>
            </numRef>
          </cat>
          <val>
            <numRef>
              <f>'Groups'!$F$7:$F$12</f>
            </numRef>
          </val>
        </ser>
        <ser>
          <idx val="1"/>
          <order val="1"/>
          <tx>
            <strRef>
              <f>'Groups'!H6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'Groups'!$A$7:$A$12</f>
            </numRef>
          </cat>
          <val>
            <numRef>
              <f>'Groups'!$H$7:$H$12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7</row>
      <rowOff>0</rowOff>
    </from>
    <ext cx="468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7</row>
      <rowOff>0</rowOff>
    </from>
    <ext cx="4680000" cy="37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Workplace problems'!A1" TargetMode="External" Id="rId1" /><Relationship Type="http://schemas.openxmlformats.org/officeDocument/2006/relationships/hyperlink" Target="#'Groups'!A1" TargetMode="External" Id="rId2" /><Relationship Type="http://schemas.openxmlformats.org/officeDocument/2006/relationships/hyperlink" Target="#'Warning signs by group'!A1" TargetMode="External" Id="rId3" /><Relationship Type="http://schemas.openxmlformats.org/officeDocument/2006/relationships/hyperlink" Target="#'Groups within a risk level'!A1" TargetMode="External" Id="rId4" /><Relationship Type="http://schemas.openxmlformats.org/officeDocument/2006/relationships/hyperlink" Target="#'Actions'!A1" TargetMode="External" Id="rId5" /><Relationship Type="http://schemas.openxmlformats.org/officeDocument/2006/relationships/hyperlink" Target="#'Method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kaggle.com/datasets/aiexplorer77/digital-burnout-and-productivity-analytic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Burnout and productivity: what problems do 5 million employees report?</t>
        </is>
      </c>
    </row>
    <row r="2">
      <c r="A2" s="2" t="inlineStr">
        <is>
          <t>Companion to the analysis notebook · synthetic data from Kaggle · key figures link to the 'Groups' sheet</t>
        </is>
      </c>
    </row>
    <row r="4" ht="30" customHeight="1">
      <c r="A4" s="3" t="inlineStr">
        <is>
          <t>Key figure</t>
        </is>
      </c>
      <c r="B4" s="4" t="inlineStr">
        <is>
          <t>Value</t>
        </is>
      </c>
    </row>
    <row r="5">
      <c r="A5" s="5" t="inlineStr">
        <is>
          <t>Employees</t>
        </is>
      </c>
      <c r="B5" s="6">
        <f>Groups!D13</f>
        <v/>
      </c>
    </row>
    <row r="6">
      <c r="A6" s="5" t="inlineStr">
        <is>
          <t>Average burnout risk (0-100)</t>
        </is>
      </c>
      <c r="B6" s="7">
        <f>Groups!F13</f>
        <v/>
      </c>
    </row>
    <row r="7">
      <c r="A7" s="5" t="inlineStr">
        <is>
          <t>Average productivity score (0-100)</t>
        </is>
      </c>
      <c r="B7" s="7">
        <f>Groups!H13</f>
        <v/>
      </c>
    </row>
    <row r="8">
      <c r="A8" s="5" t="inlineStr">
        <is>
          <t>Share with burnout risk 70+</t>
        </is>
      </c>
      <c r="B8" s="8">
        <f>Groups!J13</f>
        <v/>
      </c>
    </row>
    <row r="9">
      <c r="A9" s="5" t="inlineStr">
        <is>
          <t>Share in the low productivity category</t>
        </is>
      </c>
      <c r="B9" s="8">
        <f>Groups!K13</f>
        <v/>
      </c>
    </row>
    <row r="10">
      <c r="A10" s="5" t="inlineStr">
        <is>
          <t>Warning signs per person (out of 11)</t>
        </is>
      </c>
      <c r="B10" s="9">
        <f>Groups!L13</f>
        <v/>
      </c>
    </row>
    <row r="11">
      <c r="A11" s="5" t="inlineStr">
        <is>
          <t>Productivity gap, highest vs lowest group</t>
        </is>
      </c>
      <c r="B11" s="7">
        <f>MAX(Groups!H7:H12)-MIN(Groups!H7:H12)</f>
        <v/>
      </c>
    </row>
    <row r="12">
      <c r="A12" s="5" t="inlineStr">
        <is>
          <t>Burnout gap, highest vs lowest group</t>
        </is>
      </c>
      <c r="B12" s="7">
        <f>MAX(Groups!F7:F12)-MIN(Groups!F7:F12)</f>
        <v/>
      </c>
    </row>
    <row r="15">
      <c r="A15" s="10" t="inlineStr">
        <is>
          <t>Main findings</t>
        </is>
      </c>
    </row>
    <row r="16" ht="30" customHeight="1">
      <c r="A16" s="11" t="inlineStr">
        <is>
          <t>1. Burnout and productivity are linked to different factors. Burnout goes with emotional exhaustion (r 0.51) and stress (0.38); productivity goes with deep work (0.55) and task completion rate (0.36).</t>
        </is>
      </c>
    </row>
    <row r="17" ht="30" customHeight="1">
      <c r="A17" s="11" t="inlineStr">
        <is>
          <t>2. Common problems: 65% use devices late at night, 35% sleep under 6 hours, and about 30% report high stress or high emotional exhaustion.</t>
        </is>
      </c>
    </row>
    <row r="18" ht="30" customHeight="1">
      <c r="A18" s="11" t="inlineStr">
        <is>
          <t>3. The outcomes barely differ by job title or work mode (less than 0.1 points between occupations); the differences are in individual behaviour.</t>
        </is>
      </c>
    </row>
    <row r="19" ht="30" customHeight="1">
      <c r="A19" s="11" t="inlineStr">
        <is>
          <t>4. N1 (low focus + mental strain) has the highest risk: burnout 58.9, productivity 49.5.</t>
        </is>
      </c>
    </row>
    <row r="20" ht="30" customHeight="1">
      <c r="A20" s="11" t="inlineStr">
        <is>
          <t>5. The 'High' level (N2, N3, N4) contains three different main problems; N4 combines high productivity (80.4) with high burnout (55.8).</t>
        </is>
      </c>
    </row>
    <row r="21" ht="30" customHeight="1">
      <c r="A21" s="11" t="inlineStr">
        <is>
          <t>6. Short sleep and high stress are at the same level in every group, so they need company-wide measures.</t>
        </is>
      </c>
    </row>
    <row r="23">
      <c r="A23" s="10" t="inlineStr">
        <is>
          <t>Sheets in this file</t>
        </is>
      </c>
    </row>
    <row r="24">
      <c r="A24" s="12" t="inlineStr">
        <is>
          <t>Workplace problems</t>
        </is>
      </c>
      <c r="B24" s="13" t="inlineStr">
        <is>
          <t>Which factors go with burnout and productivity; common warning signs</t>
        </is>
      </c>
      <c r="C24" s="14" t="n"/>
      <c r="D24" s="14" t="n"/>
      <c r="E24" s="14" t="n"/>
      <c r="F24" s="14" t="n"/>
    </row>
    <row r="25">
      <c r="A25" s="12" t="inlineStr">
        <is>
          <t>Groups</t>
        </is>
      </c>
      <c r="B25" s="13" t="inlineStr">
        <is>
          <t>The six employee groups: size, outcomes, problem profile</t>
        </is>
      </c>
      <c r="C25" s="14" t="n"/>
      <c r="D25" s="14" t="n"/>
      <c r="E25" s="14" t="n"/>
      <c r="F25" s="14" t="n"/>
    </row>
    <row r="26">
      <c r="A26" s="12" t="inlineStr">
        <is>
          <t>Warning signs by group</t>
        </is>
      </c>
      <c r="B26" s="13" t="inlineStr">
        <is>
          <t>Which signs are concentrated in some groups and which are shared by all</t>
        </is>
      </c>
      <c r="C26" s="14" t="n"/>
      <c r="D26" s="14" t="n"/>
      <c r="E26" s="14" t="n"/>
      <c r="F26" s="14" t="n"/>
    </row>
    <row r="27">
      <c r="A27" s="12" t="inlineStr">
        <is>
          <t>Groups within a risk level</t>
        </is>
      </c>
      <c r="B27" s="13" t="inlineStr">
        <is>
          <t>How groups at the same risk level differ; correlations inside each group</t>
        </is>
      </c>
      <c r="C27" s="14" t="n"/>
      <c r="D27" s="14" t="n"/>
      <c r="E27" s="14" t="n"/>
      <c r="F27" s="14" t="n"/>
    </row>
    <row r="28">
      <c r="A28" s="12" t="inlineStr">
        <is>
          <t>Actions</t>
        </is>
      </c>
      <c r="B28" s="13" t="inlineStr">
        <is>
          <t>Suggested actions and KPIs for each group and for the whole company</t>
        </is>
      </c>
      <c r="C28" s="14" t="n"/>
      <c r="D28" s="14" t="n"/>
      <c r="E28" s="14" t="n"/>
      <c r="F28" s="14" t="n"/>
    </row>
    <row r="29">
      <c r="A29" s="12" t="inlineStr">
        <is>
          <t>Method</t>
        </is>
      </c>
      <c r="B29" s="13" t="inlineStr">
        <is>
          <t>How the groups were built, validation figures and limitations</t>
        </is>
      </c>
      <c r="C29" s="14" t="n"/>
      <c r="D29" s="14" t="n"/>
      <c r="E29" s="14" t="n"/>
      <c r="F29" s="14" t="n"/>
    </row>
  </sheetData>
  <mergeCells count="12">
    <mergeCell ref="A16:F16"/>
    <mergeCell ref="B29:F29"/>
    <mergeCell ref="B24:F24"/>
    <mergeCell ref="A19:F19"/>
    <mergeCell ref="B25:F25"/>
    <mergeCell ref="B28:F28"/>
    <mergeCell ref="A17:F17"/>
    <mergeCell ref="A18:F18"/>
    <mergeCell ref="A20:F20"/>
    <mergeCell ref="A21:F21"/>
    <mergeCell ref="B26:F26"/>
    <mergeCell ref="B27:F27"/>
  </mergeCells>
  <hyperlinks>
    <hyperlink xmlns:r="http://schemas.openxmlformats.org/officeDocument/2006/relationships" ref="A24" r:id="rId1"/>
    <hyperlink xmlns:r="http://schemas.openxmlformats.org/officeDocument/2006/relationships" ref="A25" r:id="rId2"/>
    <hyperlink xmlns:r="http://schemas.openxmlformats.org/officeDocument/2006/relationships" ref="A26" r:id="rId3"/>
    <hyperlink xmlns:r="http://schemas.openxmlformats.org/officeDocument/2006/relationships" ref="A27" r:id="rId4"/>
    <hyperlink xmlns:r="http://schemas.openxmlformats.org/officeDocument/2006/relationships" ref="A28" r:id="rId5"/>
    <hyperlink xmlns:r="http://schemas.openxmlformats.org/officeDocument/2006/relationships" ref="A29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0" customWidth="1" min="4" max="4"/>
    <col width="16" customWidth="1" min="5" max="5"/>
    <col width="22" customWidth="1" min="6" max="6"/>
  </cols>
  <sheetData>
    <row r="1">
      <c r="A1" s="1" t="inlineStr">
        <is>
          <t>Workplace problems: what goes with burnout and low productivity</t>
        </is>
      </c>
    </row>
    <row r="2">
      <c r="A2" s="2" t="inlineStr">
        <is>
          <t>Pearson correlations on 5 million employees · common warning signs</t>
        </is>
      </c>
    </row>
    <row r="4">
      <c r="B4" s="15" t="inlineStr">
        <is>
          <t>Minimum |r| to count as a link</t>
        </is>
      </c>
      <c r="C4" s="16" t="n">
        <v>0.05</v>
      </c>
    </row>
    <row r="6">
      <c r="A6" s="10" t="inlineStr">
        <is>
          <t>Correlation of each factor with the two outcomes</t>
        </is>
      </c>
    </row>
    <row r="7">
      <c r="A7" s="17" t="inlineStr">
        <is>
          <t>Source: reports/02_driver_correlation.csv. The 'direction' columns are formulas using the threshold in C4.</t>
        </is>
      </c>
    </row>
    <row r="8" ht="30" customHeight="1">
      <c r="A8" s="3" t="inlineStr">
        <is>
          <t>Factor</t>
        </is>
      </c>
      <c r="B8" s="4" t="inlineStr">
        <is>
          <t>Factor group</t>
        </is>
      </c>
      <c r="C8" s="4" t="inlineStr">
        <is>
          <t>r with burnout</t>
        </is>
      </c>
      <c r="D8" s="4" t="inlineStr">
        <is>
          <t>Direction (burnout)</t>
        </is>
      </c>
      <c r="E8" s="4" t="inlineStr">
        <is>
          <t>r with productivity</t>
        </is>
      </c>
      <c r="F8" s="4" t="inlineStr">
        <is>
          <t>Direction (productivity)</t>
        </is>
      </c>
    </row>
    <row r="9">
      <c r="A9" s="5" t="inlineStr">
        <is>
          <t>Emotional exhaustion</t>
        </is>
      </c>
      <c r="B9" s="13" t="inlineStr">
        <is>
          <t>Mental state</t>
        </is>
      </c>
      <c r="C9" s="18" t="n">
        <v>0.512</v>
      </c>
      <c r="D9" s="13">
        <f>IF(ABS(C9)&lt;$C$4,"–",IF(C9&gt;0,"Higher burnout","Lower burnout"))</f>
        <v/>
      </c>
      <c r="E9" s="18" t="n">
        <v>-0.1819</v>
      </c>
      <c r="F9" s="13">
        <f>IF(ABS(E9)&lt;$C$4,"–",IF(E9&gt;0,"Higher productivity","Lower productivity"))</f>
        <v/>
      </c>
    </row>
    <row r="10">
      <c r="A10" s="5" t="inlineStr">
        <is>
          <t>Stress</t>
        </is>
      </c>
      <c r="B10" s="13" t="inlineStr">
        <is>
          <t>Sleep &amp; recovery</t>
        </is>
      </c>
      <c r="C10" s="18" t="n">
        <v>0.3828</v>
      </c>
      <c r="D10" s="13">
        <f>IF(ABS(C10)&lt;$C$4,"–",IF(C10&gt;0,"Higher burnout","Lower burnout"))</f>
        <v/>
      </c>
      <c r="E10" s="18" t="n">
        <v>-0.135</v>
      </c>
      <c r="F10" s="13">
        <f>IF(ABS(E10)&lt;$C$4,"–",IF(E10&gt;0,"Higher productivity","Lower productivity"))</f>
        <v/>
      </c>
    </row>
    <row r="11">
      <c r="A11" s="5" t="inlineStr">
        <is>
          <t>Screen time</t>
        </is>
      </c>
      <c r="B11" s="13" t="inlineStr">
        <is>
          <t>Digital load</t>
        </is>
      </c>
      <c r="C11" s="18" t="n">
        <v>0.2208</v>
      </c>
      <c r="D11" s="13">
        <f>IF(ABS(C11)&lt;$C$4,"–",IF(C11&gt;0,"Higher burnout","Lower burnout"))</f>
        <v/>
      </c>
      <c r="E11" s="18" t="n">
        <v>-0.07779999999999999</v>
      </c>
      <c r="F11" s="13">
        <f>IF(ABS(E11)&lt;$C$4,"–",IF(E11&gt;0,"Higher productivity","Lower productivity"))</f>
        <v/>
      </c>
    </row>
    <row r="12">
      <c r="A12" s="5" t="inlineStr">
        <is>
          <t>Doomscrolling</t>
        </is>
      </c>
      <c r="B12" s="13" t="inlineStr">
        <is>
          <t>Digital load</t>
        </is>
      </c>
      <c r="C12" s="18" t="n">
        <v>0.2003</v>
      </c>
      <c r="D12" s="13">
        <f>IF(ABS(C12)&lt;$C$4,"–",IF(C12&gt;0,"Higher burnout","Lower burnout"))</f>
        <v/>
      </c>
      <c r="E12" s="18" t="n">
        <v>-0.07149999999999999</v>
      </c>
      <c r="F12" s="13">
        <f>IF(ABS(E12)&lt;$C$4,"–",IF(E12&gt;0,"Higher productivity","Lower productivity"))</f>
        <v/>
      </c>
    </row>
    <row r="13">
      <c r="A13" s="5" t="inlineStr">
        <is>
          <t>Late-night device use</t>
        </is>
      </c>
      <c r="B13" s="13" t="inlineStr">
        <is>
          <t>Digital load</t>
        </is>
      </c>
      <c r="C13" s="18" t="n">
        <v>0.158</v>
      </c>
      <c r="D13" s="13">
        <f>IF(ABS(C13)&lt;$C$4,"–",IF(C13&gt;0,"Higher burnout","Lower burnout"))</f>
        <v/>
      </c>
      <c r="E13" s="18" t="n">
        <v>-0.0558</v>
      </c>
      <c r="F13" s="13">
        <f>IF(ABS(E13)&lt;$C$4,"–",IF(E13&gt;0,"Higher productivity","Lower productivity"))</f>
        <v/>
      </c>
    </row>
    <row r="14">
      <c r="A14" s="5" t="inlineStr">
        <is>
          <t>Distractions per day</t>
        </is>
      </c>
      <c r="B14" s="13" t="inlineStr">
        <is>
          <t>Focus &amp; output</t>
        </is>
      </c>
      <c r="C14" s="18" t="n">
        <v>0.1522</v>
      </c>
      <c r="D14" s="13">
        <f>IF(ABS(C14)&lt;$C$4,"–",IF(C14&gt;0,"Higher burnout","Lower burnout"))</f>
        <v/>
      </c>
      <c r="E14" s="18" t="n">
        <v>-0.0541</v>
      </c>
      <c r="F14" s="13">
        <f>IF(ABS(E14)&lt;$C$4,"–",IF(E14&gt;0,"Higher productivity","Lower productivity"))</f>
        <v/>
      </c>
    </row>
    <row r="15">
      <c r="A15" s="5" t="inlineStr">
        <is>
          <t>Notifications per day</t>
        </is>
      </c>
      <c r="B15" s="13" t="inlineStr">
        <is>
          <t>Digital load</t>
        </is>
      </c>
      <c r="C15" s="18" t="n">
        <v>0.09669999999999999</v>
      </c>
      <c r="D15" s="13">
        <f>IF(ABS(C15)&lt;$C$4,"–",IF(C15&gt;0,"Higher burnout","Lower burnout"))</f>
        <v/>
      </c>
      <c r="E15" s="18" t="n">
        <v>-0.0339</v>
      </c>
      <c r="F15" s="13">
        <f>IF(ABS(E15)&lt;$C$4,"–",IF(E15&gt;0,"Higher productivity","Lower productivity"))</f>
        <v/>
      </c>
    </row>
    <row r="16">
      <c r="A16" s="5" t="inlineStr">
        <is>
          <t>Focus sessions per day</t>
        </is>
      </c>
      <c r="B16" s="13" t="inlineStr">
        <is>
          <t>Focus &amp; output</t>
        </is>
      </c>
      <c r="C16" s="18" t="n">
        <v>0.0011</v>
      </c>
      <c r="D16" s="13">
        <f>IF(ABS(C16)&lt;$C$4,"–",IF(C16&gt;0,"Higher burnout","Lower burnout"))</f>
        <v/>
      </c>
      <c r="E16" s="18" t="n">
        <v>0.2301</v>
      </c>
      <c r="F16" s="13">
        <f>IF(ABS(E16)&lt;$C$4,"–",IF(E16&gt;0,"Higher productivity","Lower productivity"))</f>
        <v/>
      </c>
    </row>
    <row r="17">
      <c r="A17" s="5" t="inlineStr">
        <is>
          <t>Motivation</t>
        </is>
      </c>
      <c r="B17" s="13" t="inlineStr">
        <is>
          <t>Mental state</t>
        </is>
      </c>
      <c r="C17" s="18" t="n">
        <v>0.0003</v>
      </c>
      <c r="D17" s="13">
        <f>IF(ABS(C17)&lt;$C$4,"–",IF(C17&gt;0,"Higher burnout","Lower burnout"))</f>
        <v/>
      </c>
      <c r="E17" s="18" t="n">
        <v>0.229</v>
      </c>
      <c r="F17" s="13">
        <f>IF(ABS(E17)&lt;$C$4,"–",IF(E17&gt;0,"Higher productivity","Lower productivity"))</f>
        <v/>
      </c>
    </row>
    <row r="18">
      <c r="A18" s="5" t="inlineStr">
        <is>
          <t>Workspace quality</t>
        </is>
      </c>
      <c r="B18" s="13" t="inlineStr">
        <is>
          <t>Work environment</t>
        </is>
      </c>
      <c r="C18" s="18" t="n">
        <v>0.0001</v>
      </c>
      <c r="D18" s="13">
        <f>IF(ABS(C18)&lt;$C$4,"–",IF(C18&gt;0,"Higher burnout","Lower burnout"))</f>
        <v/>
      </c>
      <c r="E18" s="18" t="n">
        <v>0.1723</v>
      </c>
      <c r="F18" s="13">
        <f>IF(ABS(E18)&lt;$C$4,"–",IF(E18&gt;0,"Higher productivity","Lower productivity"))</f>
        <v/>
      </c>
    </row>
    <row r="19">
      <c r="A19" s="5" t="inlineStr">
        <is>
          <t>Task completion rate</t>
        </is>
      </c>
      <c r="B19" s="13" t="inlineStr">
        <is>
          <t>Focus &amp; output</t>
        </is>
      </c>
      <c r="C19" s="18" t="n">
        <v>0.0001</v>
      </c>
      <c r="D19" s="13">
        <f>IF(ABS(C19)&lt;$C$4,"–",IF(C19&gt;0,"Higher burnout","Lower burnout"))</f>
        <v/>
      </c>
      <c r="E19" s="18" t="n">
        <v>0.3558</v>
      </c>
      <c r="F19" s="13">
        <f>IF(ABS(E19)&lt;$C$4,"–",IF(E19&gt;0,"Higher productivity","Lower productivity"))</f>
        <v/>
      </c>
    </row>
    <row r="20">
      <c r="A20" s="5" t="inlineStr">
        <is>
          <t>Concentration</t>
        </is>
      </c>
      <c r="B20" s="13" t="inlineStr">
        <is>
          <t>Focus &amp; output</t>
        </is>
      </c>
      <c r="C20" s="18" t="n">
        <v>-0</v>
      </c>
      <c r="D20" s="13">
        <f>IF(ABS(C20)&lt;$C$4,"–",IF(C20&gt;0,"Higher burnout","Lower burnout"))</f>
        <v/>
      </c>
      <c r="E20" s="18" t="n">
        <v>0.3473</v>
      </c>
      <c r="F20" s="13">
        <f>IF(ABS(E20)&lt;$C$4,"–",IF(E20&gt;0,"Higher productivity","Lower productivity"))</f>
        <v/>
      </c>
    </row>
    <row r="21">
      <c r="A21" s="5" t="inlineStr">
        <is>
          <t>Sleep quality</t>
        </is>
      </c>
      <c r="B21" s="13" t="inlineStr">
        <is>
          <t>Sleep &amp; recovery</t>
        </is>
      </c>
      <c r="C21" s="18" t="n">
        <v>-0</v>
      </c>
      <c r="D21" s="13">
        <f>IF(ABS(C21)&lt;$C$4,"–",IF(C21&gt;0,"Higher burnout","Lower burnout"))</f>
        <v/>
      </c>
      <c r="E21" s="18" t="n">
        <v>0</v>
      </c>
      <c r="F21" s="13">
        <f>IF(ABS(E21)&lt;$C$4,"–",IF(E21&gt;0,"Higher productivity","Lower productivity"))</f>
        <v/>
      </c>
    </row>
    <row r="22">
      <c r="A22" s="5" t="inlineStr">
        <is>
          <t>Mental fatigue</t>
        </is>
      </c>
      <c r="B22" s="13" t="inlineStr">
        <is>
          <t>Mental state</t>
        </is>
      </c>
      <c r="C22" s="18" t="n">
        <v>-0.0001</v>
      </c>
      <c r="D22" s="13">
        <f>IF(ABS(C22)&lt;$C$4,"–",IF(C22&gt;0,"Higher burnout","Lower burnout"))</f>
        <v/>
      </c>
      <c r="E22" s="18" t="n">
        <v>0.0005999999999999999</v>
      </c>
      <c r="F22" s="13">
        <f>IF(ABS(E22)&lt;$C$4,"–",IF(E22&gt;0,"Higher productivity","Lower productivity"))</f>
        <v/>
      </c>
    </row>
    <row r="23">
      <c r="A23" s="5" t="inlineStr">
        <is>
          <t>Meetings</t>
        </is>
      </c>
      <c r="B23" s="13" t="inlineStr">
        <is>
          <t>Focus &amp; output</t>
        </is>
      </c>
      <c r="C23" s="18" t="n">
        <v>-0.0001</v>
      </c>
      <c r="D23" s="13">
        <f>IF(ABS(C23)&lt;$C$4,"–",IF(C23&gt;0,"Higher burnout","Lower burnout"))</f>
        <v/>
      </c>
      <c r="E23" s="18" t="n">
        <v>-0.0005</v>
      </c>
      <c r="F23" s="13">
        <f>IF(ABS(E23)&lt;$C$4,"–",IF(E23&gt;0,"Higher productivity","Lower productivity"))</f>
        <v/>
      </c>
    </row>
    <row r="24">
      <c r="A24" s="5" t="inlineStr">
        <is>
          <t>Social media</t>
        </is>
      </c>
      <c r="B24" s="13" t="inlineStr">
        <is>
          <t>Digital load</t>
        </is>
      </c>
      <c r="C24" s="18" t="n">
        <v>-0.0002</v>
      </c>
      <c r="D24" s="13">
        <f>IF(ABS(C24)&lt;$C$4,"–",IF(C24&gt;0,"Higher burnout","Lower burnout"))</f>
        <v/>
      </c>
      <c r="E24" s="18" t="n">
        <v>-0.14</v>
      </c>
      <c r="F24" s="13">
        <f>IF(ABS(E24)&lt;$C$4,"–",IF(E24&gt;0,"Higher productivity","Lower productivity"))</f>
        <v/>
      </c>
    </row>
    <row r="25">
      <c r="A25" s="5" t="inlineStr">
        <is>
          <t>Phone unlocks per day</t>
        </is>
      </c>
      <c r="B25" s="13" t="inlineStr">
        <is>
          <t>Digital load</t>
        </is>
      </c>
      <c r="C25" s="18" t="n">
        <v>-0.0002</v>
      </c>
      <c r="D25" s="13">
        <f>IF(ABS(C25)&lt;$C$4,"–",IF(C25&gt;0,"Higher burnout","Lower burnout"))</f>
        <v/>
      </c>
      <c r="E25" s="18" t="n">
        <v>0.0001</v>
      </c>
      <c r="F25" s="13">
        <f>IF(ABS(E25)&lt;$C$4,"–",IF(E25&gt;0,"Higher productivity","Lower productivity"))</f>
        <v/>
      </c>
    </row>
    <row r="26">
      <c r="A26" s="5" t="inlineStr">
        <is>
          <t>Caffeine</t>
        </is>
      </c>
      <c r="B26" s="13" t="inlineStr">
        <is>
          <t>Sleep &amp; recovery</t>
        </is>
      </c>
      <c r="C26" s="18" t="n">
        <v>-0.0007</v>
      </c>
      <c r="D26" s="13">
        <f>IF(ABS(C26)&lt;$C$4,"–",IF(C26&gt;0,"Higher burnout","Lower burnout"))</f>
        <v/>
      </c>
      <c r="E26" s="18" t="n">
        <v>0.0008</v>
      </c>
      <c r="F26" s="13">
        <f>IF(ABS(E26)&lt;$C$4,"–",IF(E26&gt;0,"Higher productivity","Lower productivity"))</f>
        <v/>
      </c>
    </row>
    <row r="27">
      <c r="A27" s="5" t="inlineStr">
        <is>
          <t>App switches per day</t>
        </is>
      </c>
      <c r="B27" s="13" t="inlineStr">
        <is>
          <t>Digital load</t>
        </is>
      </c>
      <c r="C27" s="18" t="n">
        <v>-0.0008</v>
      </c>
      <c r="D27" s="13">
        <f>IF(ABS(C27)&lt;$C$4,"–",IF(C27&gt;0,"Higher burnout","Lower burnout"))</f>
        <v/>
      </c>
      <c r="E27" s="18" t="n">
        <v>-0.0822</v>
      </c>
      <c r="F27" s="13">
        <f>IF(ABS(E27)&lt;$C$4,"–",IF(E27&gt;0,"Higher productivity","Lower productivity"))</f>
        <v/>
      </c>
    </row>
    <row r="28">
      <c r="A28" s="5" t="inlineStr">
        <is>
          <t>Remote days per week</t>
        </is>
      </c>
      <c r="B28" s="13" t="inlineStr">
        <is>
          <t>Work environment</t>
        </is>
      </c>
      <c r="C28" s="18" t="n">
        <v>-0.0008</v>
      </c>
      <c r="D28" s="13">
        <f>IF(ABS(C28)&lt;$C$4,"–",IF(C28&gt;0,"Higher burnout","Lower burnout"))</f>
        <v/>
      </c>
      <c r="E28" s="18" t="n">
        <v>0.0002</v>
      </c>
      <c r="F28" s="13">
        <f>IF(ABS(E28)&lt;$C$4,"–",IF(E28&gt;0,"Higher productivity","Lower productivity"))</f>
        <v/>
      </c>
    </row>
    <row r="29">
      <c r="A29" s="5" t="inlineStr">
        <is>
          <t>Internet stability</t>
        </is>
      </c>
      <c r="B29" s="13" t="inlineStr">
        <is>
          <t>Work environment</t>
        </is>
      </c>
      <c r="C29" s="18" t="n">
        <v>-0.0008</v>
      </c>
      <c r="D29" s="13">
        <f>IF(ABS(C29)&lt;$C$4,"–",IF(C29&gt;0,"Higher burnout","Lower burnout"))</f>
        <v/>
      </c>
      <c r="E29" s="18" t="n">
        <v>0.0005999999999999999</v>
      </c>
      <c r="F29" s="13">
        <f>IF(ABS(E29)&lt;$C$4,"–",IF(E29&gt;0,"Higher productivity","Lower productivity"))</f>
        <v/>
      </c>
    </row>
    <row r="30">
      <c r="A30" s="5" t="inlineStr">
        <is>
          <t>Deep work</t>
        </is>
      </c>
      <c r="B30" s="13" t="inlineStr">
        <is>
          <t>Focus &amp; output</t>
        </is>
      </c>
      <c r="C30" s="18" t="n">
        <v>-0.0464</v>
      </c>
      <c r="D30" s="13">
        <f>IF(ABS(C30)&lt;$C$4,"–",IF(C30&gt;0,"Higher burnout","Lower burnout"))</f>
        <v/>
      </c>
      <c r="E30" s="18" t="n">
        <v>0.5546</v>
      </c>
      <c r="F30" s="13">
        <f>IF(ABS(E30)&lt;$C$4,"–",IF(E30&gt;0,"Higher productivity","Lower productivity"))</f>
        <v/>
      </c>
    </row>
    <row r="31">
      <c r="A31" s="5" t="inlineStr">
        <is>
          <t>Physical activity</t>
        </is>
      </c>
      <c r="B31" s="13" t="inlineStr">
        <is>
          <t>Sleep &amp; recovery</t>
        </is>
      </c>
      <c r="C31" s="18" t="n">
        <v>-0.1107</v>
      </c>
      <c r="D31" s="13">
        <f>IF(ABS(C31)&lt;$C$4,"–",IF(C31&gt;0,"Higher burnout","Lower burnout"))</f>
        <v/>
      </c>
      <c r="E31" s="18" t="n">
        <v>0.04</v>
      </c>
      <c r="F31" s="13">
        <f>IF(ABS(E31)&lt;$C$4,"–",IF(E31&gt;0,"Higher productivity","Lower productivity"))</f>
        <v/>
      </c>
    </row>
    <row r="32">
      <c r="A32" s="5" t="inlineStr">
        <is>
          <t>Sleep</t>
        </is>
      </c>
      <c r="B32" s="13" t="inlineStr">
        <is>
          <t>Sleep &amp; recovery</t>
        </is>
      </c>
      <c r="C32" s="18" t="n">
        <v>-0.1294</v>
      </c>
      <c r="D32" s="13">
        <f>IF(ABS(C32)&lt;$C$4,"–",IF(C32&gt;0,"Higher burnout","Lower burnout"))</f>
        <v/>
      </c>
      <c r="E32" s="18" t="n">
        <v>0.0462</v>
      </c>
      <c r="F32" s="13">
        <f>IF(ABS(E32)&lt;$C$4,"–",IF(E32&gt;0,"Higher productivity","Lower productivity"))</f>
        <v/>
      </c>
    </row>
    <row r="33">
      <c r="A33" s="5" t="inlineStr">
        <is>
          <t>Job satisfaction</t>
        </is>
      </c>
      <c r="B33" s="13" t="inlineStr">
        <is>
          <t>Mental state</t>
        </is>
      </c>
      <c r="C33" s="18" t="n">
        <v>-0.2544</v>
      </c>
      <c r="D33" s="13">
        <f>IF(ABS(C33)&lt;$C$4,"–",IF(C33&gt;0,"Higher burnout","Lower burnout"))</f>
        <v/>
      </c>
      <c r="E33" s="18" t="n">
        <v>0.0905</v>
      </c>
      <c r="F33" s="13">
        <f>IF(ABS(E33)&lt;$C$4,"–",IF(E33&gt;0,"Higher productivity","Lower productivity"))</f>
        <v/>
      </c>
    </row>
    <row r="36">
      <c r="A36" s="10" t="inlineStr">
        <is>
          <t>Common warning signs</t>
        </is>
      </c>
    </row>
    <row r="37">
      <c r="A37" s="17" t="inlineStr">
        <is>
          <t>Source: reports/02_red_flags.csv. Share = employees / total on the 'Groups' sheet.</t>
        </is>
      </c>
    </row>
    <row r="38" ht="30" customHeight="1">
      <c r="A38" s="3" t="inlineStr">
        <is>
          <t>Warning sign</t>
        </is>
      </c>
      <c r="B38" s="4" t="inlineStr">
        <is>
          <t>Employees</t>
        </is>
      </c>
      <c r="C38" s="4" t="inlineStr">
        <is>
          <t>Share</t>
        </is>
      </c>
    </row>
    <row r="39">
      <c r="A39" s="5" t="inlineStr">
        <is>
          <t>Late-night device use</t>
        </is>
      </c>
      <c r="B39" s="19" t="n">
        <v>3249966</v>
      </c>
      <c r="C39" s="20">
        <f>B39/Groups!$D$13</f>
        <v/>
      </c>
    </row>
    <row r="40">
      <c r="A40" s="5" t="inlineStr">
        <is>
          <t>Sleep under 6 h</t>
        </is>
      </c>
      <c r="B40" s="19" t="n">
        <v>1747338</v>
      </c>
      <c r="C40" s="20">
        <f>B40/Groups!$D$13</f>
        <v/>
      </c>
    </row>
    <row r="41">
      <c r="A41" s="5" t="inlineStr">
        <is>
          <t>High emotional exhaustion (8+)</t>
        </is>
      </c>
      <c r="B41" s="19" t="n">
        <v>1500117</v>
      </c>
      <c r="C41" s="20">
        <f>B41/Groups!$D$13</f>
        <v/>
      </c>
    </row>
    <row r="42">
      <c r="A42" s="5" t="inlineStr">
        <is>
          <t>High mental fatigue (8+)</t>
        </is>
      </c>
      <c r="B42" s="19" t="n">
        <v>1499460</v>
      </c>
      <c r="C42" s="20">
        <f>B42/Groups!$D$13</f>
        <v/>
      </c>
    </row>
    <row r="43">
      <c r="A43" s="5" t="inlineStr">
        <is>
          <t>High stress (8+)</t>
        </is>
      </c>
      <c r="B43" s="19" t="n">
        <v>1499416</v>
      </c>
      <c r="C43" s="20">
        <f>B43/Groups!$D$13</f>
        <v/>
      </c>
    </row>
    <row r="44">
      <c r="A44" s="5" t="inlineStr">
        <is>
          <t>Low job satisfaction (3 or less)</t>
        </is>
      </c>
      <c r="B44" s="19" t="n">
        <v>1498398</v>
      </c>
      <c r="C44" s="20">
        <f>B44/Groups!$D$13</f>
        <v/>
      </c>
    </row>
    <row r="45">
      <c r="A45" s="5" t="inlineStr">
        <is>
          <t>Low motivation (3 or less)</t>
        </is>
      </c>
      <c r="B45" s="19" t="n">
        <v>1470561</v>
      </c>
      <c r="C45" s="20">
        <f>B45/Groups!$D$13</f>
        <v/>
      </c>
    </row>
    <row r="46">
      <c r="A46" s="5" t="inlineStr">
        <is>
          <t>Deep work under 2 h</t>
        </is>
      </c>
      <c r="B46" s="19" t="n">
        <v>1370849</v>
      </c>
      <c r="C46" s="20">
        <f>B46/Groups!$D$13</f>
        <v/>
      </c>
    </row>
    <row r="47">
      <c r="A47" s="5" t="inlineStr">
        <is>
          <t>Screen time over 10 h</t>
        </is>
      </c>
      <c r="B47" s="19" t="n">
        <v>1030392</v>
      </c>
      <c r="C47" s="20">
        <f>B47/Groups!$D$13</f>
        <v/>
      </c>
    </row>
    <row r="48">
      <c r="A48" s="5" t="inlineStr">
        <is>
          <t>Burnout risk 70+</t>
        </is>
      </c>
      <c r="B48" s="19" t="n">
        <v>894559</v>
      </c>
      <c r="C48" s="20">
        <f>B48/Groups!$D$13</f>
        <v/>
      </c>
    </row>
    <row r="49">
      <c r="A49" s="5" t="inlineStr">
        <is>
          <t>Low productivity category</t>
        </is>
      </c>
      <c r="B49" s="19" t="n">
        <v>841484</v>
      </c>
      <c r="C49" s="20">
        <f>B49/Groups!$D$13</f>
        <v/>
      </c>
    </row>
    <row r="50">
      <c r="A50" s="21" t="inlineStr">
        <is>
          <t>Thresholds (for example sleep under 6 hours, stress of 8+) are analysis choices, defined in src/config.py.</t>
        </is>
      </c>
    </row>
  </sheetData>
  <conditionalFormatting sqref="C9:C33">
    <cfRule type="colorScale" priority="1">
      <colorScale>
        <cfvo type="num" val="-0.55"/>
        <cfvo type="num" val="0"/>
        <cfvo type="num" val="0.55"/>
        <color rgb="008DB9EE"/>
        <color rgb="00F3F3F1"/>
        <color rgb="00EE9593"/>
      </colorScale>
    </cfRule>
  </conditionalFormatting>
  <conditionalFormatting sqref="E9:E33">
    <cfRule type="colorScale" priority="2">
      <colorScale>
        <cfvo type="num" val="-0.55"/>
        <cfvo type="num" val="0"/>
        <cfvo type="num" val="0.55"/>
        <color rgb="00EE9593"/>
        <color rgb="00F3F3F1"/>
        <color rgb="008DB9EE"/>
      </colorScale>
    </cfRule>
  </conditionalFormatting>
  <conditionalFormatting sqref="C39:C49">
    <cfRule type="dataBar" priority="3">
      <dataBar>
        <cfvo type="num" val="0"/>
        <cfvo type="num" val="1"/>
        <color rgb="002A78D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1" customWidth="1" min="13" max="13"/>
  </cols>
  <sheetData>
    <row r="1">
      <c r="A1" s="1" t="inlineStr">
        <is>
          <t>Six employee groups</t>
        </is>
      </c>
    </row>
    <row r="2">
      <c r="A2" s="2" t="inlineStr">
        <is>
          <t>K-Means on 5 million employees · ordered by priority for support · gaps from the average are formulas</t>
        </is>
      </c>
    </row>
    <row r="4">
      <c r="A4" s="10" t="inlineStr">
        <is>
          <t>Overview</t>
        </is>
      </c>
    </row>
    <row r="5">
      <c r="A5" s="17" t="inlineStr">
        <is>
          <t>Source: reports/03_segment_summary.csv (exported by the notebook). The 'All' row is weighted by group size.</t>
        </is>
      </c>
    </row>
    <row r="6" ht="30" customHeight="1">
      <c r="A6" s="3" t="inlineStr">
        <is>
          <t>Code</t>
        </is>
      </c>
      <c r="B6" s="4" t="inlineStr">
        <is>
          <t>Group</t>
        </is>
      </c>
      <c r="C6" s="4" t="inlineStr">
        <is>
          <t>Risk level</t>
        </is>
      </c>
      <c r="D6" s="4" t="inlineStr">
        <is>
          <t>Employees</t>
        </is>
      </c>
      <c r="E6" s="4" t="inlineStr">
        <is>
          <t>Share</t>
        </is>
      </c>
      <c r="F6" s="4" t="inlineStr">
        <is>
          <t>Burnout avg</t>
        </is>
      </c>
      <c r="G6" s="4" t="inlineStr">
        <is>
          <t>Burnout gap</t>
        </is>
      </c>
      <c r="H6" s="4" t="inlineStr">
        <is>
          <t>Productivity avg</t>
        </is>
      </c>
      <c r="I6" s="4" t="inlineStr">
        <is>
          <t>Productivity gap</t>
        </is>
      </c>
      <c r="J6" s="4" t="inlineStr">
        <is>
          <t>% burnout 70+</t>
        </is>
      </c>
      <c r="K6" s="4" t="inlineStr">
        <is>
          <t>% low productivity</t>
        </is>
      </c>
      <c r="L6" s="4" t="inlineStr">
        <is>
          <t>Warning signs / person</t>
        </is>
      </c>
      <c r="M6" s="4" t="inlineStr">
        <is>
          <t>Risk score</t>
        </is>
      </c>
    </row>
    <row r="7">
      <c r="A7" s="22" t="inlineStr">
        <is>
          <t>N1</t>
        </is>
      </c>
      <c r="B7" s="23" t="inlineStr">
        <is>
          <t>Low focus + mental strain</t>
        </is>
      </c>
      <c r="C7" s="5" t="inlineStr">
        <is>
          <t>Very high</t>
        </is>
      </c>
      <c r="D7" s="19" t="n">
        <v>835607</v>
      </c>
      <c r="E7" s="20">
        <f>D7/$D$13</f>
        <v/>
      </c>
      <c r="F7" s="24" t="n">
        <v>58.8874</v>
      </c>
      <c r="G7" s="25">
        <f>F7-$F$13</f>
        <v/>
      </c>
      <c r="H7" s="24" t="n">
        <v>49.5116</v>
      </c>
      <c r="I7" s="25">
        <f>H7-$H$13</f>
        <v/>
      </c>
      <c r="J7" s="20" t="n">
        <v>0.310119</v>
      </c>
      <c r="K7" s="20" t="n">
        <v>0.49591</v>
      </c>
      <c r="L7" s="26" t="n">
        <v>4.6896</v>
      </c>
      <c r="M7" s="26" t="n">
        <v>1.487</v>
      </c>
    </row>
    <row r="8">
      <c r="A8" s="22" t="inlineStr">
        <is>
          <t>N2</t>
        </is>
      </c>
      <c r="B8" s="23" t="inlineStr">
        <is>
          <t>Heavy device use</t>
        </is>
      </c>
      <c r="C8" s="5" t="inlineStr">
        <is>
          <t>High</t>
        </is>
      </c>
      <c r="D8" s="19" t="n">
        <v>829775</v>
      </c>
      <c r="E8" s="20">
        <f>D8/$D$13</f>
        <v/>
      </c>
      <c r="F8" s="24" t="n">
        <v>54.5617</v>
      </c>
      <c r="G8" s="25">
        <f>F8-$F$13</f>
        <v/>
      </c>
      <c r="H8" s="24" t="n">
        <v>67.8528</v>
      </c>
      <c r="I8" s="25">
        <f>H8-$H$13</f>
        <v/>
      </c>
      <c r="J8" s="20" t="n">
        <v>0.241179</v>
      </c>
      <c r="K8" s="20" t="n">
        <v>0.161102</v>
      </c>
      <c r="L8" s="26" t="n">
        <v>3.5881</v>
      </c>
      <c r="M8" s="26" t="n">
        <v>0.4379</v>
      </c>
    </row>
    <row r="9">
      <c r="A9" s="22" t="inlineStr">
        <is>
          <t>N3</t>
        </is>
      </c>
      <c r="B9" s="23" t="inlineStr">
        <is>
          <t>Low focus + low mental strain</t>
        </is>
      </c>
      <c r="C9" s="5" t="inlineStr">
        <is>
          <t>High</t>
        </is>
      </c>
      <c r="D9" s="19" t="n">
        <v>836373</v>
      </c>
      <c r="E9" s="20">
        <f>D9/$D$13</f>
        <v/>
      </c>
      <c r="F9" s="24" t="n">
        <v>41.1937</v>
      </c>
      <c r="G9" s="25">
        <f>F9-$F$13</f>
        <v/>
      </c>
      <c r="H9" s="24" t="n">
        <v>63.8357</v>
      </c>
      <c r="I9" s="25">
        <f>H9-$H$13</f>
        <v/>
      </c>
      <c r="J9" s="20" t="n">
        <v>0.08995300000000001</v>
      </c>
      <c r="K9" s="20" t="n">
        <v>0.232737</v>
      </c>
      <c r="L9" s="26" t="n">
        <v>2.6939</v>
      </c>
      <c r="M9" s="26" t="n">
        <v>0.3539</v>
      </c>
    </row>
    <row r="10">
      <c r="A10" s="22" t="inlineStr">
        <is>
          <t>N4</t>
        </is>
      </c>
      <c r="B10" s="23" t="inlineStr">
        <is>
          <t>Mental strain + strong focus</t>
        </is>
      </c>
      <c r="C10" s="5" t="inlineStr">
        <is>
          <t>High</t>
        </is>
      </c>
      <c r="D10" s="19" t="n">
        <v>839807</v>
      </c>
      <c r="E10" s="20">
        <f>D10/$D$13</f>
        <v/>
      </c>
      <c r="F10" s="24" t="n">
        <v>55.7589</v>
      </c>
      <c r="G10" s="25">
        <f>F10-$F$13</f>
        <v/>
      </c>
      <c r="H10" s="24" t="n">
        <v>80.429</v>
      </c>
      <c r="I10" s="25">
        <f>H10-$H$13</f>
        <v/>
      </c>
      <c r="J10" s="20" t="n">
        <v>0.260729</v>
      </c>
      <c r="K10" s="20" t="n">
        <v>0.047437</v>
      </c>
      <c r="L10" s="26" t="n">
        <v>3.9673</v>
      </c>
      <c r="M10" s="26" t="n">
        <v>0.3251</v>
      </c>
    </row>
    <row r="11">
      <c r="A11" s="22" t="inlineStr">
        <is>
          <t>N5</t>
        </is>
      </c>
      <c r="B11" s="23" t="inlineStr">
        <is>
          <t>Light device use</t>
        </is>
      </c>
      <c r="C11" s="5" t="inlineStr">
        <is>
          <t>Low</t>
        </is>
      </c>
      <c r="D11" s="19" t="n">
        <v>824113</v>
      </c>
      <c r="E11" s="20">
        <f>D11/$D$13</f>
        <v/>
      </c>
      <c r="F11" s="24" t="n">
        <v>42.6029</v>
      </c>
      <c r="G11" s="25">
        <f>F11-$F$13</f>
        <v/>
      </c>
      <c r="H11" s="24" t="n">
        <v>76.1901</v>
      </c>
      <c r="I11" s="25">
        <f>H11-$H$13</f>
        <v/>
      </c>
      <c r="J11" s="20" t="n">
        <v>0.100364</v>
      </c>
      <c r="K11" s="20" t="n">
        <v>0.067554</v>
      </c>
      <c r="L11" s="26" t="n">
        <v>2.7466</v>
      </c>
      <c r="M11" s="26" t="n">
        <v>0</v>
      </c>
    </row>
    <row r="12">
      <c r="A12" s="22" t="inlineStr">
        <is>
          <t>N6</t>
        </is>
      </c>
      <c r="B12" s="23" t="inlineStr">
        <is>
          <t>Strong focus + low mental strain</t>
        </is>
      </c>
      <c r="C12" s="5" t="inlineStr">
        <is>
          <t>Low</t>
        </is>
      </c>
      <c r="D12" s="19" t="n">
        <v>834325</v>
      </c>
      <c r="E12" s="20">
        <f>D12/$D$13</f>
        <v/>
      </c>
      <c r="F12" s="24" t="n">
        <v>38.4124</v>
      </c>
      <c r="G12" s="25">
        <f>F12-$F$13</f>
        <v/>
      </c>
      <c r="H12" s="24" t="n">
        <v>90.8764</v>
      </c>
      <c r="I12" s="25">
        <f>H12-$H$13</f>
        <v/>
      </c>
      <c r="J12" s="20" t="n">
        <v>0.06998500000000001</v>
      </c>
      <c r="K12" s="20" t="n">
        <v>0.003901</v>
      </c>
      <c r="L12" s="26" t="n">
        <v>2.2272</v>
      </c>
      <c r="M12" s="26" t="n">
        <v>0</v>
      </c>
    </row>
    <row r="13">
      <c r="A13" s="27" t="inlineStr">
        <is>
          <t>All</t>
        </is>
      </c>
      <c r="B13" s="28" t="inlineStr">
        <is>
          <t>All employees</t>
        </is>
      </c>
      <c r="C13" s="28" t="inlineStr"/>
      <c r="D13" s="29">
        <f>SUM(D7:D12)</f>
        <v/>
      </c>
      <c r="E13" s="30">
        <f>SUM(E7:E12)</f>
        <v/>
      </c>
      <c r="F13" s="31">
        <f>SUMPRODUCT($D$7:$D$12,F7:F12)/$D$13</f>
        <v/>
      </c>
      <c r="G13" s="28" t="inlineStr"/>
      <c r="H13" s="31">
        <f>SUMPRODUCT($D$7:$D$12,H7:H12)/$D$13</f>
        <v/>
      </c>
      <c r="I13" s="28" t="inlineStr"/>
      <c r="J13" s="32">
        <f>SUMPRODUCT($D$7:$D$12,J7:J12)/$D$13</f>
        <v/>
      </c>
      <c r="K13" s="32">
        <f>SUMPRODUCT($D$7:$D$12,K7:K12)/$D$13</f>
        <v/>
      </c>
      <c r="L13" s="33">
        <f>SUMPRODUCT($D$7:$D$12,L7:L12)/$D$13</f>
        <v/>
      </c>
      <c r="M13" s="28" t="inlineStr"/>
    </row>
    <row r="14">
      <c r="A14" s="21" t="inlineStr">
        <is>
          <t>Risk score = how far burnout is above average + how far productivity is below average (in standard deviations). High productivity does not cancel out high burnout.</t>
        </is>
      </c>
    </row>
    <row r="34">
      <c r="A34" s="10" t="inlineStr">
        <is>
          <t>Problem profile of each group</t>
        </is>
      </c>
    </row>
    <row r="35">
      <c r="A35" s="17" t="inlineStr">
        <is>
          <t>Standard deviations from the all-employee average; positive (red) = worse than average. Source: reports/03_segment_problem_scores.csv.</t>
        </is>
      </c>
    </row>
    <row r="36" ht="30" customHeight="1">
      <c r="A36" s="3" t="inlineStr">
        <is>
          <t>Code</t>
        </is>
      </c>
      <c r="B36" s="4" t="inlineStr">
        <is>
          <t>Group</t>
        </is>
      </c>
      <c r="C36" s="4" t="inlineStr">
        <is>
          <t>Digital overload</t>
        </is>
      </c>
      <c r="D36" s="4" t="inlineStr">
        <is>
          <t>Poor recovery</t>
        </is>
      </c>
      <c r="E36" s="4" t="inlineStr">
        <is>
          <t>Low focus</t>
        </is>
      </c>
      <c r="F36" s="4" t="inlineStr">
        <is>
          <t>Mental strain</t>
        </is>
      </c>
      <c r="G36" s="4" t="inlineStr">
        <is>
          <t>Poor environment</t>
        </is>
      </c>
    </row>
    <row r="37">
      <c r="A37" s="22" t="inlineStr">
        <is>
          <t>N1</t>
        </is>
      </c>
      <c r="B37" s="34">
        <f>B7</f>
        <v/>
      </c>
      <c r="C37" s="18" t="n">
        <v>0.0045</v>
      </c>
      <c r="D37" s="18" t="n">
        <v>0.0002</v>
      </c>
      <c r="E37" s="18" t="n">
        <v>1.0257</v>
      </c>
      <c r="F37" s="18" t="n">
        <v>0.982</v>
      </c>
      <c r="G37" s="18" t="n">
        <v>-0.0014</v>
      </c>
    </row>
    <row r="38">
      <c r="A38" s="22" t="inlineStr">
        <is>
          <t>N2</t>
        </is>
      </c>
      <c r="B38" s="34">
        <f>B8</f>
        <v/>
      </c>
      <c r="C38" s="18" t="n">
        <v>1.0464</v>
      </c>
      <c r="D38" s="18" t="n">
        <v>0.0012</v>
      </c>
      <c r="E38" s="18" t="n">
        <v>0.0168</v>
      </c>
      <c r="F38" s="18" t="n">
        <v>-0.0025</v>
      </c>
      <c r="G38" s="18" t="n">
        <v>0.0009</v>
      </c>
    </row>
    <row r="39">
      <c r="A39" s="22" t="inlineStr">
        <is>
          <t>N3</t>
        </is>
      </c>
      <c r="B39" s="34">
        <f>B9</f>
        <v/>
      </c>
      <c r="C39" s="18" t="n">
        <v>0.0001</v>
      </c>
      <c r="D39" s="18" t="n">
        <v>-0.0007</v>
      </c>
      <c r="E39" s="18" t="n">
        <v>0.9256</v>
      </c>
      <c r="F39" s="18" t="n">
        <v>-1.0838</v>
      </c>
      <c r="G39" s="18" t="n">
        <v>-0.0005</v>
      </c>
    </row>
    <row r="40">
      <c r="A40" s="22" t="inlineStr">
        <is>
          <t>N4</t>
        </is>
      </c>
      <c r="B40" s="34">
        <f>B10</f>
        <v/>
      </c>
      <c r="C40" s="18" t="n">
        <v>0.0002</v>
      </c>
      <c r="D40" s="18" t="n">
        <v>0.0017</v>
      </c>
      <c r="E40" s="18" t="n">
        <v>-0.9448</v>
      </c>
      <c r="F40" s="18" t="n">
        <v>1.063</v>
      </c>
      <c r="G40" s="18" t="n">
        <v>0.0012</v>
      </c>
    </row>
    <row r="41">
      <c r="A41" s="22" t="inlineStr">
        <is>
          <t>N5</t>
        </is>
      </c>
      <c r="B41" s="34">
        <f>B11</f>
        <v/>
      </c>
      <c r="C41" s="18" t="n">
        <v>-1.061</v>
      </c>
      <c r="D41" s="18" t="n">
        <v>-0.0043</v>
      </c>
      <c r="E41" s="18" t="n">
        <v>0.0232</v>
      </c>
      <c r="F41" s="18" t="n">
        <v>-0.002</v>
      </c>
      <c r="G41" s="18" t="n">
        <v>-0.0005999999999999999</v>
      </c>
    </row>
    <row r="42">
      <c r="A42" s="22" t="inlineStr">
        <is>
          <t>N6</t>
        </is>
      </c>
      <c r="B42" s="34">
        <f>B12</f>
        <v/>
      </c>
      <c r="C42" s="18" t="n">
        <v>0.0025</v>
      </c>
      <c r="D42" s="18" t="n">
        <v>0.0019</v>
      </c>
      <c r="E42" s="18" t="n">
        <v>-1.0439</v>
      </c>
      <c r="F42" s="18" t="n">
        <v>-0.9626</v>
      </c>
      <c r="G42" s="18" t="n">
        <v>0.0005</v>
      </c>
    </row>
  </sheetData>
  <conditionalFormatting sqref="G7:G12">
    <cfRule type="colorScale" priority="1">
      <colorScale>
        <cfvo type="num" val="-12"/>
        <cfvo type="num" val="0"/>
        <cfvo type="num" val="12"/>
        <color rgb="008DB9EE"/>
        <color rgb="00F3F3F1"/>
        <color rgb="00EE9593"/>
      </colorScale>
    </cfRule>
  </conditionalFormatting>
  <conditionalFormatting sqref="I7:I12">
    <cfRule type="colorScale" priority="2">
      <colorScale>
        <cfvo type="num" val="-22"/>
        <cfvo type="num" val="0"/>
        <cfvo type="num" val="22"/>
        <color rgb="00EE9593"/>
        <color rgb="00F3F3F1"/>
        <color rgb="008DB9EE"/>
      </colorScale>
    </cfRule>
  </conditionalFormatting>
  <conditionalFormatting sqref="C37:G42">
    <cfRule type="colorScale" priority="3">
      <colorScale>
        <cfvo type="num" val="-1.2"/>
        <cfvo type="num" val="0"/>
        <cfvo type="num" val="1.2"/>
        <color rgb="008DB9EE"/>
        <color rgb="00F3F3F1"/>
        <color rgb="00EE9593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8" customWidth="1" min="10" max="10"/>
  </cols>
  <sheetData>
    <row r="1">
      <c r="A1" s="1" t="inlineStr">
        <is>
          <t>Warning signs by group</t>
        </is>
      </c>
    </row>
    <row r="2">
      <c r="A2" s="2" t="inlineStr">
        <is>
          <t>Which signs are concentrated in a few groups, and which are at the same level everywhere (→ company-wide measures)</t>
        </is>
      </c>
    </row>
    <row r="4">
      <c r="B4" s="15" t="inlineStr">
        <is>
          <t>Max gap for 'all groups' (pp)</t>
        </is>
      </c>
      <c r="C4" s="35" t="n">
        <v>5</v>
      </c>
    </row>
    <row r="6">
      <c r="A6" s="10" t="inlineStr">
        <is>
          <t>Share of each group</t>
        </is>
      </c>
    </row>
    <row r="7">
      <c r="A7" s="17" t="inlineStr">
        <is>
          <t>Source: reports/03_segment_red_flags.csv. The 'Gap' and 'Scope' columns are formulas.</t>
        </is>
      </c>
    </row>
    <row r="8" ht="30" customHeight="1">
      <c r="A8" s="3" t="inlineStr">
        <is>
          <t>Warning sign</t>
        </is>
      </c>
      <c r="B8" s="4" t="inlineStr">
        <is>
          <t>N1</t>
        </is>
      </c>
      <c r="C8" s="4" t="inlineStr">
        <is>
          <t>N2</t>
        </is>
      </c>
      <c r="D8" s="4" t="inlineStr">
        <is>
          <t>N3</t>
        </is>
      </c>
      <c r="E8" s="4" t="inlineStr">
        <is>
          <t>N4</t>
        </is>
      </c>
      <c r="F8" s="4" t="inlineStr">
        <is>
          <t>N5</t>
        </is>
      </c>
      <c r="G8" s="4" t="inlineStr">
        <is>
          <t>N6</t>
        </is>
      </c>
      <c r="H8" s="4" t="inlineStr">
        <is>
          <t>All</t>
        </is>
      </c>
      <c r="I8" s="4" t="inlineStr">
        <is>
          <t>Gap (pp)</t>
        </is>
      </c>
      <c r="J8" s="4" t="inlineStr">
        <is>
          <t>Scope of action</t>
        </is>
      </c>
    </row>
    <row r="9">
      <c r="A9" s="5" t="inlineStr">
        <is>
          <t>Late-night device use</t>
        </is>
      </c>
      <c r="B9" s="36" t="n">
        <v>0.65733</v>
      </c>
      <c r="C9" s="36" t="n">
        <v>0.82767</v>
      </c>
      <c r="D9" s="36" t="n">
        <v>0.65604</v>
      </c>
      <c r="E9" s="36" t="n">
        <v>0.65581</v>
      </c>
      <c r="F9" s="36" t="n">
        <v>0.44455</v>
      </c>
      <c r="G9" s="36" t="n">
        <v>0.65695</v>
      </c>
      <c r="H9" s="37" t="n">
        <v>0.64999</v>
      </c>
      <c r="I9" s="38">
        <f>(MAX(B9:G9)-MIN(B9:G9))*100</f>
        <v/>
      </c>
      <c r="J9" s="5">
        <f>IF(I9&lt;$C$4,"Company-wide","By group")</f>
        <v/>
      </c>
    </row>
    <row r="10">
      <c r="A10" s="5" t="inlineStr">
        <is>
          <t>Sleep under 6 h</t>
        </is>
      </c>
      <c r="B10" s="36" t="n">
        <v>0.34974</v>
      </c>
      <c r="C10" s="36" t="n">
        <v>0.34981</v>
      </c>
      <c r="D10" s="36" t="n">
        <v>0.34953</v>
      </c>
      <c r="E10" s="36" t="n">
        <v>0.3496</v>
      </c>
      <c r="F10" s="36" t="n">
        <v>0.34896</v>
      </c>
      <c r="G10" s="36" t="n">
        <v>0.34917</v>
      </c>
      <c r="H10" s="37" t="n">
        <v>0.34947</v>
      </c>
      <c r="I10" s="38">
        <f>(MAX(B10:G10)-MIN(B10:G10))*100</f>
        <v/>
      </c>
      <c r="J10" s="5">
        <f>IF(I10&lt;$C$4,"Company-wide","By group")</f>
        <v/>
      </c>
    </row>
    <row r="11">
      <c r="A11" s="5" t="inlineStr">
        <is>
          <t>High emotional exhaustion (8+)</t>
        </is>
      </c>
      <c r="B11" s="36" t="n">
        <v>0.48743</v>
      </c>
      <c r="C11" s="36" t="n">
        <v>0.28104</v>
      </c>
      <c r="D11" s="36" t="n">
        <v>0.11336</v>
      </c>
      <c r="E11" s="36" t="n">
        <v>0.50557</v>
      </c>
      <c r="F11" s="36" t="n">
        <v>0.28118</v>
      </c>
      <c r="G11" s="36" t="n">
        <v>0.13004</v>
      </c>
      <c r="H11" s="37" t="n">
        <v>0.30002</v>
      </c>
      <c r="I11" s="38">
        <f>(MAX(B11:G11)-MIN(B11:G11))*100</f>
        <v/>
      </c>
      <c r="J11" s="5">
        <f>IF(I11&lt;$C$4,"Company-wide","By group")</f>
        <v/>
      </c>
    </row>
    <row r="12">
      <c r="A12" s="5" t="inlineStr">
        <is>
          <t>High mental fatigue (8+)</t>
        </is>
      </c>
      <c r="B12" s="36" t="n">
        <v>0.48632</v>
      </c>
      <c r="C12" s="36" t="n">
        <v>0.28185</v>
      </c>
      <c r="D12" s="36" t="n">
        <v>0.1126</v>
      </c>
      <c r="E12" s="36" t="n">
        <v>0.5054</v>
      </c>
      <c r="F12" s="36" t="n">
        <v>0.28135</v>
      </c>
      <c r="G12" s="36" t="n">
        <v>0.13034</v>
      </c>
      <c r="H12" s="37" t="n">
        <v>0.29989</v>
      </c>
      <c r="I12" s="38">
        <f>(MAX(B12:G12)-MIN(B12:G12))*100</f>
        <v/>
      </c>
      <c r="J12" s="5">
        <f>IF(I12&lt;$C$4,"Company-wide","By group")</f>
        <v/>
      </c>
    </row>
    <row r="13">
      <c r="A13" s="5" t="inlineStr">
        <is>
          <t>High stress (8+)</t>
        </is>
      </c>
      <c r="B13" s="36" t="n">
        <v>0.29966</v>
      </c>
      <c r="C13" s="36" t="n">
        <v>0.30042</v>
      </c>
      <c r="D13" s="36" t="n">
        <v>0.29876</v>
      </c>
      <c r="E13" s="36" t="n">
        <v>0.30053</v>
      </c>
      <c r="F13" s="36" t="n">
        <v>0.29942</v>
      </c>
      <c r="G13" s="36" t="n">
        <v>0.3005</v>
      </c>
      <c r="H13" s="37" t="n">
        <v>0.29988</v>
      </c>
      <c r="I13" s="38">
        <f>(MAX(B13:G13)-MIN(B13:G13))*100</f>
        <v/>
      </c>
      <c r="J13" s="5">
        <f>IF(I13&lt;$C$4,"Company-wide","By group")</f>
        <v/>
      </c>
    </row>
    <row r="14">
      <c r="A14" s="5" t="inlineStr">
        <is>
          <t>Low job satisfaction (3 or less)</t>
        </is>
      </c>
      <c r="B14" s="36" t="n">
        <v>0.48747</v>
      </c>
      <c r="C14" s="36" t="n">
        <v>0.28062</v>
      </c>
      <c r="D14" s="36" t="n">
        <v>0.1128</v>
      </c>
      <c r="E14" s="36" t="n">
        <v>0.5049</v>
      </c>
      <c r="F14" s="36" t="n">
        <v>0.28076</v>
      </c>
      <c r="G14" s="36" t="n">
        <v>0.13001</v>
      </c>
      <c r="H14" s="37" t="n">
        <v>0.29968</v>
      </c>
      <c r="I14" s="38">
        <f>(MAX(B14:G14)-MIN(B14:G14))*100</f>
        <v/>
      </c>
      <c r="J14" s="5">
        <f>IF(I14&lt;$C$4,"Company-wide","By group")</f>
        <v/>
      </c>
    </row>
    <row r="15">
      <c r="A15" s="5" t="inlineStr">
        <is>
          <t>Low motivation (3 or less)</t>
        </is>
      </c>
      <c r="B15" s="36" t="n">
        <v>0.47938</v>
      </c>
      <c r="C15" s="36" t="n">
        <v>0.27421</v>
      </c>
      <c r="D15" s="36" t="n">
        <v>0.11074</v>
      </c>
      <c r="E15" s="36" t="n">
        <v>0.49593</v>
      </c>
      <c r="F15" s="36" t="n">
        <v>0.27566</v>
      </c>
      <c r="G15" s="36" t="n">
        <v>0.12726</v>
      </c>
      <c r="H15" s="37" t="n">
        <v>0.29411</v>
      </c>
      <c r="I15" s="38">
        <f>(MAX(B15:G15)-MIN(B15:G15))*100</f>
        <v/>
      </c>
      <c r="J15" s="5">
        <f>IF(I15&lt;$C$4,"Company-wide","By group")</f>
        <v/>
      </c>
    </row>
    <row r="16">
      <c r="A16" s="5" t="inlineStr">
        <is>
          <t>Deep work under 2 h</t>
        </is>
      </c>
      <c r="B16" s="36" t="n">
        <v>0.43459</v>
      </c>
      <c r="C16" s="36" t="n">
        <v>0.26265</v>
      </c>
      <c r="D16" s="36" t="n">
        <v>0.41585</v>
      </c>
      <c r="E16" s="36" t="n">
        <v>0.13983</v>
      </c>
      <c r="F16" s="36" t="n">
        <v>0.26449</v>
      </c>
      <c r="G16" s="36" t="n">
        <v>0.12771</v>
      </c>
      <c r="H16" s="37" t="n">
        <v>0.27417</v>
      </c>
      <c r="I16" s="38">
        <f>(MAX(B16:G16)-MIN(B16:G16))*100</f>
        <v/>
      </c>
      <c r="J16" s="5">
        <f>IF(I16&lt;$C$4,"Company-wide","By group")</f>
        <v/>
      </c>
    </row>
    <row r="17">
      <c r="A17" s="5" t="inlineStr">
        <is>
          <t>Screen time over 10 h</t>
        </is>
      </c>
      <c r="B17" s="36" t="n">
        <v>0.20167</v>
      </c>
      <c r="C17" s="36" t="n">
        <v>0.32756</v>
      </c>
      <c r="D17" s="36" t="n">
        <v>0.20152</v>
      </c>
      <c r="E17" s="36" t="n">
        <v>0.20151</v>
      </c>
      <c r="F17" s="36" t="n">
        <v>0.1023</v>
      </c>
      <c r="G17" s="36" t="n">
        <v>0.20135</v>
      </c>
      <c r="H17" s="37" t="n">
        <v>0.20608</v>
      </c>
      <c r="I17" s="38">
        <f>(MAX(B17:G17)-MIN(B17:G17))*100</f>
        <v/>
      </c>
      <c r="J17" s="5">
        <f>IF(I17&lt;$C$4,"Company-wide","By group")</f>
        <v/>
      </c>
    </row>
    <row r="18">
      <c r="A18" s="5" t="inlineStr">
        <is>
          <t>Burnout risk 70+</t>
        </is>
      </c>
      <c r="B18" s="36" t="n">
        <v>0.31012</v>
      </c>
      <c r="C18" s="36" t="n">
        <v>0.24118</v>
      </c>
      <c r="D18" s="36" t="n">
        <v>0.08995</v>
      </c>
      <c r="E18" s="36" t="n">
        <v>0.26073</v>
      </c>
      <c r="F18" s="36" t="n">
        <v>0.10036</v>
      </c>
      <c r="G18" s="36" t="n">
        <v>0.06998</v>
      </c>
      <c r="H18" s="37" t="n">
        <v>0.17891</v>
      </c>
      <c r="I18" s="38">
        <f>(MAX(B18:G18)-MIN(B18:G18))*100</f>
        <v/>
      </c>
      <c r="J18" s="5">
        <f>IF(I18&lt;$C$4,"Company-wide","By group")</f>
        <v/>
      </c>
    </row>
    <row r="19">
      <c r="A19" s="5" t="inlineStr">
        <is>
          <t>Low productivity category</t>
        </is>
      </c>
      <c r="B19" s="36" t="n">
        <v>0.49591</v>
      </c>
      <c r="C19" s="36" t="n">
        <v>0.1611</v>
      </c>
      <c r="D19" s="36" t="n">
        <v>0.23274</v>
      </c>
      <c r="E19" s="36" t="n">
        <v>0.04744</v>
      </c>
      <c r="F19" s="36" t="n">
        <v>0.06755</v>
      </c>
      <c r="G19" s="36" t="n">
        <v>0.0039</v>
      </c>
      <c r="H19" s="37" t="n">
        <v>0.1683</v>
      </c>
      <c r="I19" s="38">
        <f>(MAX(B19:G19)-MIN(B19:G19))*100</f>
        <v/>
      </c>
      <c r="J19" s="5">
        <f>IF(I19&lt;$C$4,"Company-wide","By group")</f>
        <v/>
      </c>
    </row>
    <row r="20">
      <c r="A20" s="21" t="inlineStr">
        <is>
          <t>Rows in bold red have almost the same rate in every group, so grouping does not help to target them; they call for company-wide measures.</t>
        </is>
      </c>
    </row>
  </sheetData>
  <conditionalFormatting sqref="B9:H19">
    <cfRule type="colorScale" priority="1">
      <colorScale>
        <cfvo type="num" val="0"/>
        <cfvo type="max"/>
        <color rgb="00FFFFFF"/>
        <color rgb="006DA7EC"/>
      </colorScale>
    </cfRule>
  </conditionalFormatting>
  <conditionalFormatting sqref="A9:J19">
    <cfRule type="expression" priority="2" dxfId="0">
      <formula>$J9="Company-wide"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  <col width="22" customWidth="1" min="13" max="13"/>
  </cols>
  <sheetData>
    <row r="1">
      <c r="A1" s="1" t="inlineStr">
        <is>
          <t>Comparing groups that share a risk level</t>
        </is>
      </c>
    </row>
    <row r="2">
      <c r="A2" s="2" t="inlineStr">
        <is>
          <t>Does the same risk level mean the same problem? Outcomes, problem profile, behaviour and correlations inside each group</t>
        </is>
      </c>
    </row>
    <row r="4">
      <c r="B4" s="15" t="inlineStr">
        <is>
          <t>Min |r| to flag a sign change</t>
        </is>
      </c>
      <c r="C4" s="16" t="n">
        <v>0.05</v>
      </c>
    </row>
    <row r="5">
      <c r="B5" s="15" t="inlineStr">
        <is>
          <t>Min |r| for a reliable lever</t>
        </is>
      </c>
      <c r="C5" s="16" t="n">
        <v>0.1</v>
      </c>
    </row>
    <row r="7">
      <c r="A7" s="2" t="inlineStr">
        <is>
          <t>The 'Very high' level has only N1; see the 'Groups' sheet for its profile.</t>
        </is>
      </c>
    </row>
    <row r="9">
      <c r="A9" s="39" t="inlineStr">
        <is>
          <t>'High' risk level · N2, N3, N4</t>
        </is>
      </c>
    </row>
    <row r="10">
      <c r="A10" s="15" t="inlineStr">
        <is>
          <t>Main issue of each group → N2: heavy device use; N3: low focus; N4: mental strain.</t>
        </is>
      </c>
    </row>
    <row r="12">
      <c r="A12" s="10" t="inlineStr">
        <is>
          <t>a. Outcomes</t>
        </is>
      </c>
    </row>
    <row r="13">
      <c r="A13" s="17" t="inlineStr">
        <is>
          <t>Linked to the 'Groups' sheet. The last column is the gap between the highest and lowest group.</t>
        </is>
      </c>
    </row>
    <row r="14" ht="30" customHeight="1">
      <c r="A14" s="3" t="inlineStr">
        <is>
          <t>Measure</t>
        </is>
      </c>
      <c r="B14" s="4" t="inlineStr">
        <is>
          <t>N2</t>
        </is>
      </c>
      <c r="C14" s="4" t="inlineStr">
        <is>
          <t>N3</t>
        </is>
      </c>
      <c r="D14" s="4" t="inlineStr">
        <is>
          <t>N4</t>
        </is>
      </c>
      <c r="E14" s="4" t="inlineStr">
        <is>
          <t>All</t>
        </is>
      </c>
      <c r="F14" s="4" t="inlineStr">
        <is>
          <t>Gap between groups</t>
        </is>
      </c>
    </row>
    <row r="15">
      <c r="A15" s="5" t="inlineStr">
        <is>
          <t>Share of employees</t>
        </is>
      </c>
      <c r="B15" s="36">
        <f>Groups!E8</f>
        <v/>
      </c>
      <c r="C15" s="36">
        <f>Groups!E9</f>
        <v/>
      </c>
      <c r="D15" s="36">
        <f>Groups!E10</f>
        <v/>
      </c>
      <c r="E15" s="37">
        <f>Groups!E13</f>
        <v/>
      </c>
      <c r="F15" s="36">
        <f>MAX(B15:D15)-MIN(B15:D15)</f>
        <v/>
      </c>
    </row>
    <row r="16">
      <c r="A16" s="5" t="inlineStr">
        <is>
          <t>Burnout avg</t>
        </is>
      </c>
      <c r="B16" s="38">
        <f>Groups!F8</f>
        <v/>
      </c>
      <c r="C16" s="38">
        <f>Groups!F9</f>
        <v/>
      </c>
      <c r="D16" s="38">
        <f>Groups!F10</f>
        <v/>
      </c>
      <c r="E16" s="40">
        <f>Groups!F13</f>
        <v/>
      </c>
      <c r="F16" s="38">
        <f>MAX(B16:D16)-MIN(B16:D16)</f>
        <v/>
      </c>
    </row>
    <row r="17">
      <c r="A17" s="5" t="inlineStr">
        <is>
          <t>% burnout 70+</t>
        </is>
      </c>
      <c r="B17" s="36">
        <f>Groups!J8</f>
        <v/>
      </c>
      <c r="C17" s="36">
        <f>Groups!J9</f>
        <v/>
      </c>
      <c r="D17" s="36">
        <f>Groups!J10</f>
        <v/>
      </c>
      <c r="E17" s="37">
        <f>Groups!J13</f>
        <v/>
      </c>
      <c r="F17" s="36">
        <f>MAX(B17:D17)-MIN(B17:D17)</f>
        <v/>
      </c>
    </row>
    <row r="18">
      <c r="A18" s="5" t="inlineStr">
        <is>
          <t>Productivity avg</t>
        </is>
      </c>
      <c r="B18" s="38">
        <f>Groups!H8</f>
        <v/>
      </c>
      <c r="C18" s="38">
        <f>Groups!H9</f>
        <v/>
      </c>
      <c r="D18" s="38">
        <f>Groups!H10</f>
        <v/>
      </c>
      <c r="E18" s="40">
        <f>Groups!H13</f>
        <v/>
      </c>
      <c r="F18" s="38">
        <f>MAX(B18:D18)-MIN(B18:D18)</f>
        <v/>
      </c>
    </row>
    <row r="19">
      <c r="A19" s="5" t="inlineStr">
        <is>
          <t>% low productivity</t>
        </is>
      </c>
      <c r="B19" s="36">
        <f>Groups!K8</f>
        <v/>
      </c>
      <c r="C19" s="36">
        <f>Groups!K9</f>
        <v/>
      </c>
      <c r="D19" s="36">
        <f>Groups!K10</f>
        <v/>
      </c>
      <c r="E19" s="37">
        <f>Groups!K13</f>
        <v/>
      </c>
      <c r="F19" s="36">
        <f>MAX(B19:D19)-MIN(B19:D19)</f>
        <v/>
      </c>
    </row>
    <row r="20">
      <c r="A20" s="5" t="inlineStr">
        <is>
          <t>Warning signs / person</t>
        </is>
      </c>
      <c r="B20" s="41">
        <f>Groups!L8</f>
        <v/>
      </c>
      <c r="C20" s="41">
        <f>Groups!L9</f>
        <v/>
      </c>
      <c r="D20" s="41">
        <f>Groups!L10</f>
        <v/>
      </c>
      <c r="E20" s="42">
        <f>Groups!L13</f>
        <v/>
      </c>
      <c r="F20" s="41">
        <f>MAX(B20:D20)-MIN(B20:D20)</f>
        <v/>
      </c>
    </row>
    <row r="22">
      <c r="A22" s="10" t="inlineStr">
        <is>
          <t>b. Problem profile (standard deviations, positive = worse)</t>
        </is>
      </c>
    </row>
    <row r="23">
      <c r="A23" s="17" t="inlineStr">
        <is>
          <t>Linked to the problem-profile table on the 'Groups' sheet.</t>
        </is>
      </c>
    </row>
    <row r="24" ht="30" customHeight="1">
      <c r="A24" s="3" t="inlineStr">
        <is>
          <t>Problem score</t>
        </is>
      </c>
      <c r="B24" s="4" t="inlineStr">
        <is>
          <t>N2</t>
        </is>
      </c>
      <c r="C24" s="4" t="inlineStr">
        <is>
          <t>N3</t>
        </is>
      </c>
      <c r="D24" s="4" t="inlineStr">
        <is>
          <t>N4</t>
        </is>
      </c>
    </row>
    <row r="25">
      <c r="A25" s="5" t="inlineStr">
        <is>
          <t>Digital overload</t>
        </is>
      </c>
      <c r="B25" s="18">
        <f>Groups!C38</f>
        <v/>
      </c>
      <c r="C25" s="18">
        <f>Groups!C39</f>
        <v/>
      </c>
      <c r="D25" s="18">
        <f>Groups!C40</f>
        <v/>
      </c>
    </row>
    <row r="26">
      <c r="A26" s="5" t="inlineStr">
        <is>
          <t>Poor recovery</t>
        </is>
      </c>
      <c r="B26" s="18">
        <f>Groups!D38</f>
        <v/>
      </c>
      <c r="C26" s="18">
        <f>Groups!D39</f>
        <v/>
      </c>
      <c r="D26" s="18">
        <f>Groups!D40</f>
        <v/>
      </c>
    </row>
    <row r="27">
      <c r="A27" s="5" t="inlineStr">
        <is>
          <t>Low focus</t>
        </is>
      </c>
      <c r="B27" s="18">
        <f>Groups!E38</f>
        <v/>
      </c>
      <c r="C27" s="18">
        <f>Groups!E39</f>
        <v/>
      </c>
      <c r="D27" s="18">
        <f>Groups!E40</f>
        <v/>
      </c>
    </row>
    <row r="28">
      <c r="A28" s="5" t="inlineStr">
        <is>
          <t>Mental strain</t>
        </is>
      </c>
      <c r="B28" s="18">
        <f>Groups!F38</f>
        <v/>
      </c>
      <c r="C28" s="18">
        <f>Groups!F39</f>
        <v/>
      </c>
      <c r="D28" s="18">
        <f>Groups!F40</f>
        <v/>
      </c>
    </row>
    <row r="29">
      <c r="A29" s="5" t="inlineStr">
        <is>
          <t>Poor environment</t>
        </is>
      </c>
      <c r="B29" s="18">
        <f>Groups!G38</f>
        <v/>
      </c>
      <c r="C29" s="18">
        <f>Groups!G39</f>
        <v/>
      </c>
      <c r="D29" s="18">
        <f>Groups!G40</f>
        <v/>
      </c>
    </row>
    <row r="32">
      <c r="A32" s="10" t="inlineStr">
        <is>
          <t>c. Behaviours that differ most</t>
        </is>
      </c>
    </row>
    <row r="33">
      <c r="A33" s="17" t="inlineStr">
        <is>
          <t>Source: reports/04_segment_raw_means.csv. Gap (SD) = (highest - lowest group) / all-employee standard deviation.</t>
        </is>
      </c>
    </row>
    <row r="34" ht="30" customHeight="1">
      <c r="A34" s="3" t="inlineStr">
        <is>
          <t>Factor</t>
        </is>
      </c>
      <c r="B34" s="4" t="inlineStr">
        <is>
          <t>N2</t>
        </is>
      </c>
      <c r="C34" s="4" t="inlineStr">
        <is>
          <t>N3</t>
        </is>
      </c>
      <c r="D34" s="4" t="inlineStr">
        <is>
          <t>N4</t>
        </is>
      </c>
      <c r="E34" s="4" t="inlineStr">
        <is>
          <t>All</t>
        </is>
      </c>
      <c r="F34" s="4" t="inlineStr">
        <is>
          <t>SD</t>
        </is>
      </c>
      <c r="G34" s="4" t="inlineStr">
        <is>
          <t>Gap (SD)</t>
        </is>
      </c>
      <c r="H34" s="4" t="inlineStr">
        <is>
          <t>Factor group</t>
        </is>
      </c>
    </row>
    <row r="35">
      <c r="A35" s="5" t="inlineStr">
        <is>
          <t>Mental fatigue (1-10)</t>
        </is>
      </c>
      <c r="B35" s="41" t="n">
        <v>5.5034</v>
      </c>
      <c r="C35" s="41" t="n">
        <v>3.9368</v>
      </c>
      <c r="D35" s="41" t="n">
        <v>7.0293</v>
      </c>
      <c r="E35" s="42" t="n">
        <v>5.4996</v>
      </c>
      <c r="F35" s="43" t="n">
        <v>2.872</v>
      </c>
      <c r="G35" s="41">
        <f>(MAX(B35:D35)-MIN(B35:D35))/F35</f>
        <v/>
      </c>
      <c r="H35" s="13" t="inlineStr">
        <is>
          <t>Mental state</t>
        </is>
      </c>
    </row>
    <row r="36">
      <c r="A36" s="5" t="inlineStr">
        <is>
          <t>Emotional exhaustion (1-10)</t>
        </is>
      </c>
      <c r="B36" s="41" t="n">
        <v>5.4947</v>
      </c>
      <c r="C36" s="41" t="n">
        <v>3.9461</v>
      </c>
      <c r="D36" s="41" t="n">
        <v>7.0339</v>
      </c>
      <c r="E36" s="42" t="n">
        <v>5.502</v>
      </c>
      <c r="F36" s="43" t="n">
        <v>2.8718</v>
      </c>
      <c r="G36" s="41">
        <f>(MAX(B36:D36)-MIN(B36:D36))/F36</f>
        <v/>
      </c>
      <c r="H36" s="13" t="inlineStr">
        <is>
          <t>Mental state</t>
        </is>
      </c>
    </row>
    <row r="37">
      <c r="A37" s="5" t="inlineStr">
        <is>
          <t>Job satisfaction (1-10)</t>
        </is>
      </c>
      <c r="B37" s="41" t="n">
        <v>5.5061</v>
      </c>
      <c r="C37" s="41" t="n">
        <v>7.0551</v>
      </c>
      <c r="D37" s="41" t="n">
        <v>3.9724</v>
      </c>
      <c r="E37" s="42" t="n">
        <v>5.5009</v>
      </c>
      <c r="F37" s="43" t="n">
        <v>2.8725</v>
      </c>
      <c r="G37" s="41">
        <f>(MAX(B37:D37)-MIN(B37:D37))/F37</f>
        <v/>
      </c>
      <c r="H37" s="13" t="inlineStr">
        <is>
          <t>Mental state</t>
        </is>
      </c>
    </row>
    <row r="38">
      <c r="A38" s="5" t="inlineStr">
        <is>
          <t>Motivation (1-10)</t>
        </is>
      </c>
      <c r="B38" s="41" t="n">
        <v>5.4949</v>
      </c>
      <c r="C38" s="41" t="n">
        <v>7.0282</v>
      </c>
      <c r="D38" s="41" t="n">
        <v>3.9869</v>
      </c>
      <c r="E38" s="42" t="n">
        <v>5.4895</v>
      </c>
      <c r="F38" s="43" t="n">
        <v>2.8439</v>
      </c>
      <c r="G38" s="41">
        <f>(MAX(B38:D38)-MIN(B38:D38))/F38</f>
        <v/>
      </c>
      <c r="H38" s="13" t="inlineStr">
        <is>
          <t>Mental state</t>
        </is>
      </c>
    </row>
    <row r="39">
      <c r="A39" s="5" t="inlineStr">
        <is>
          <t>Distractions per day</t>
        </is>
      </c>
      <c r="B39" s="41" t="n">
        <v>60.193</v>
      </c>
      <c r="C39" s="41" t="n">
        <v>74.37909999999999</v>
      </c>
      <c r="D39" s="41" t="n">
        <v>45.4675</v>
      </c>
      <c r="E39" s="42" t="n">
        <v>60.0335</v>
      </c>
      <c r="F39" s="43" t="n">
        <v>34.3501</v>
      </c>
      <c r="G39" s="41">
        <f>(MAX(B39:D39)-MIN(B39:D39))/F39</f>
        <v/>
      </c>
      <c r="H39" s="13" t="inlineStr">
        <is>
          <t>Focus &amp; output</t>
        </is>
      </c>
    </row>
    <row r="40">
      <c r="A40" s="5" t="inlineStr">
        <is>
          <t>Task completion rate (%)</t>
        </is>
      </c>
      <c r="B40" s="41" t="n">
        <v>69.9019</v>
      </c>
      <c r="C40" s="41" t="n">
        <v>62.6553</v>
      </c>
      <c r="D40" s="41" t="n">
        <v>77.4542</v>
      </c>
      <c r="E40" s="42" t="n">
        <v>69.9973</v>
      </c>
      <c r="F40" s="43" t="n">
        <v>17.6012</v>
      </c>
      <c r="G40" s="41">
        <f>(MAX(B40:D40)-MIN(B40:D40))/F40</f>
        <v/>
      </c>
      <c r="H40" s="13" t="inlineStr">
        <is>
          <t>Focus &amp; output</t>
        </is>
      </c>
    </row>
    <row r="41">
      <c r="A41" s="5" t="inlineStr">
        <is>
          <t>Focus sessions per day</t>
        </is>
      </c>
      <c r="B41" s="41" t="n">
        <v>4.4948</v>
      </c>
      <c r="C41" s="41" t="n">
        <v>3.301</v>
      </c>
      <c r="D41" s="41" t="n">
        <v>5.7163</v>
      </c>
      <c r="E41" s="42" t="n">
        <v>4.5005</v>
      </c>
      <c r="F41" s="43" t="n">
        <v>2.8727</v>
      </c>
      <c r="G41" s="41">
        <f>(MAX(B41:D41)-MIN(B41:D41))/F41</f>
        <v/>
      </c>
      <c r="H41" s="13" t="inlineStr">
        <is>
          <t>Focus &amp; output</t>
        </is>
      </c>
    </row>
    <row r="42">
      <c r="A42" s="5" t="inlineStr">
        <is>
          <t>Concentration (1-10)</t>
        </is>
      </c>
      <c r="B42" s="41" t="n">
        <v>5.4837</v>
      </c>
      <c r="C42" s="41" t="n">
        <v>4.3051</v>
      </c>
      <c r="D42" s="41" t="n">
        <v>6.7173</v>
      </c>
      <c r="E42" s="42" t="n">
        <v>5.5012</v>
      </c>
      <c r="F42" s="43" t="n">
        <v>2.8718</v>
      </c>
      <c r="G42" s="41">
        <f>(MAX(B42:D42)-MIN(B42:D42))/F42</f>
        <v/>
      </c>
      <c r="H42" s="13" t="inlineStr">
        <is>
          <t>Focus &amp; output</t>
        </is>
      </c>
    </row>
    <row r="43">
      <c r="A43" s="5" t="inlineStr">
        <is>
          <t>Deep work (h/day)</t>
        </is>
      </c>
      <c r="B43" s="41" t="n">
        <v>3.0013</v>
      </c>
      <c r="C43" s="41" t="n">
        <v>2.3495</v>
      </c>
      <c r="D43" s="41" t="n">
        <v>3.7491</v>
      </c>
      <c r="E43" s="42" t="n">
        <v>3.0346</v>
      </c>
      <c r="F43" s="43" t="n">
        <v>1.7077</v>
      </c>
      <c r="G43" s="41">
        <f>(MAX(B43:D43)-MIN(B43:D43))/F43</f>
        <v/>
      </c>
      <c r="H43" s="13" t="inlineStr">
        <is>
          <t>Focus &amp; output</t>
        </is>
      </c>
    </row>
    <row r="44">
      <c r="A44" s="5" t="inlineStr">
        <is>
          <t>Doomscrolling (h/day)</t>
        </is>
      </c>
      <c r="B44" s="41" t="n">
        <v>2.2941</v>
      </c>
      <c r="C44" s="41" t="n">
        <v>1.8278</v>
      </c>
      <c r="D44" s="41" t="n">
        <v>1.8287</v>
      </c>
      <c r="E44" s="42" t="n">
        <v>1.8346</v>
      </c>
      <c r="F44" s="43" t="n">
        <v>1.1322</v>
      </c>
      <c r="G44" s="41">
        <f>(MAX(B44:D44)-MIN(B44:D44))/F44</f>
        <v/>
      </c>
      <c r="H44" s="13" t="inlineStr">
        <is>
          <t>Digital load</t>
        </is>
      </c>
    </row>
    <row r="45">
      <c r="A45" s="5" t="inlineStr">
        <is>
          <t>Social media (h/day)</t>
        </is>
      </c>
      <c r="B45" s="41" t="n">
        <v>4.2128</v>
      </c>
      <c r="C45" s="41" t="n">
        <v>3.5115</v>
      </c>
      <c r="D45" s="41" t="n">
        <v>3.512</v>
      </c>
      <c r="E45" s="42" t="n">
        <v>3.5173</v>
      </c>
      <c r="F45" s="43" t="n">
        <v>1.7418</v>
      </c>
      <c r="G45" s="41">
        <f>(MAX(B45:D45)-MIN(B45:D45))/F45</f>
        <v/>
      </c>
      <c r="H45" s="13" t="inlineStr">
        <is>
          <t>Digital load</t>
        </is>
      </c>
    </row>
    <row r="46">
      <c r="A46" s="5" t="inlineStr">
        <is>
          <t>Notifications per day</t>
        </is>
      </c>
      <c r="B46" s="41" t="n">
        <v>253.2146</v>
      </c>
      <c r="C46" s="41" t="n">
        <v>209.2479</v>
      </c>
      <c r="D46" s="41" t="n">
        <v>209.4683</v>
      </c>
      <c r="E46" s="42" t="n">
        <v>209.438</v>
      </c>
      <c r="F46" s="43" t="n">
        <v>109.6646</v>
      </c>
      <c r="G46" s="41">
        <f>(MAX(B46:D46)-MIN(B46:D46))/F46</f>
        <v/>
      </c>
      <c r="H46" s="13" t="inlineStr">
        <is>
          <t>Digital load</t>
        </is>
      </c>
    </row>
    <row r="47">
      <c r="A47" s="5" t="inlineStr">
        <is>
          <t>App switches per day</t>
        </is>
      </c>
      <c r="B47" s="41" t="n">
        <v>157.1738</v>
      </c>
      <c r="C47" s="41" t="n">
        <v>129.3993</v>
      </c>
      <c r="D47" s="41" t="n">
        <v>129.4705</v>
      </c>
      <c r="E47" s="42" t="n">
        <v>129.4981</v>
      </c>
      <c r="F47" s="43" t="n">
        <v>69.2814</v>
      </c>
      <c r="G47" s="41">
        <f>(MAX(B47:D47)-MIN(B47:D47))/F47</f>
        <v/>
      </c>
      <c r="H47" s="13" t="inlineStr">
        <is>
          <t>Digital load</t>
        </is>
      </c>
    </row>
    <row r="48">
      <c r="A48" s="5" t="inlineStr">
        <is>
          <t>Phone unlocks per day</t>
        </is>
      </c>
      <c r="B48" s="41" t="n">
        <v>189.7764</v>
      </c>
      <c r="C48" s="41" t="n">
        <v>157.1144</v>
      </c>
      <c r="D48" s="41" t="n">
        <v>156.8806</v>
      </c>
      <c r="E48" s="42" t="n">
        <v>157.0431</v>
      </c>
      <c r="F48" s="43" t="n">
        <v>82.2816</v>
      </c>
      <c r="G48" s="41">
        <f>(MAX(B48:D48)-MIN(B48:D48))/F48</f>
        <v/>
      </c>
      <c r="H48" s="13" t="inlineStr">
        <is>
          <t>Digital load</t>
        </is>
      </c>
    </row>
    <row r="49">
      <c r="A49" s="5" t="inlineStr">
        <is>
          <t>Screen time (h/day)</t>
        </is>
      </c>
      <c r="B49" s="41" t="n">
        <v>8.9811</v>
      </c>
      <c r="C49" s="41" t="n">
        <v>7.9991</v>
      </c>
      <c r="D49" s="41" t="n">
        <v>7.9981</v>
      </c>
      <c r="E49" s="42" t="n">
        <v>8.000999999999999</v>
      </c>
      <c r="F49" s="43" t="n">
        <v>2.4948</v>
      </c>
      <c r="G49" s="41">
        <f>(MAX(B49:D49)-MIN(B49:D49))/F49</f>
        <v/>
      </c>
      <c r="H49" s="13" t="inlineStr">
        <is>
          <t>Digital load</t>
        </is>
      </c>
    </row>
    <row r="50">
      <c r="A50" s="5" t="inlineStr">
        <is>
          <t>Late-night device use (0/1)</t>
        </is>
      </c>
      <c r="B50" s="41" t="n">
        <v>0.8277</v>
      </c>
      <c r="C50" s="41" t="n">
        <v>0.656</v>
      </c>
      <c r="D50" s="41" t="n">
        <v>0.6558</v>
      </c>
      <c r="E50" s="42" t="n">
        <v>0.65</v>
      </c>
      <c r="F50" s="43" t="n">
        <v>0.477</v>
      </c>
      <c r="G50" s="41">
        <f>(MAX(B50:D50)-MIN(B50:D50))/F50</f>
        <v/>
      </c>
      <c r="H50" s="13" t="inlineStr">
        <is>
          <t>Digital load</t>
        </is>
      </c>
    </row>
    <row r="51">
      <c r="A51" s="5" t="inlineStr">
        <is>
          <t>Workspace quality (1-10)</t>
        </is>
      </c>
      <c r="B51" s="41" t="n">
        <v>5.5012</v>
      </c>
      <c r="C51" s="41" t="n">
        <v>5.4993</v>
      </c>
      <c r="D51" s="41" t="n">
        <v>5.4929</v>
      </c>
      <c r="E51" s="42" t="n">
        <v>5.4984</v>
      </c>
      <c r="F51" s="43" t="n">
        <v>2.8718</v>
      </c>
      <c r="G51" s="41">
        <f>(MAX(B51:D51)-MIN(B51:D51))/F51</f>
        <v/>
      </c>
      <c r="H51" s="13" t="inlineStr">
        <is>
          <t>Work environment</t>
        </is>
      </c>
    </row>
    <row r="52">
      <c r="A52" s="5" t="inlineStr">
        <is>
          <t>Meetings (h/day)</t>
        </is>
      </c>
      <c r="B52" s="41" t="n">
        <v>2.5275</v>
      </c>
      <c r="C52" s="41" t="n">
        <v>2.5316</v>
      </c>
      <c r="D52" s="41" t="n">
        <v>2.5276</v>
      </c>
      <c r="E52" s="42" t="n">
        <v>2.5296</v>
      </c>
      <c r="F52" s="43" t="n">
        <v>1.4378</v>
      </c>
      <c r="G52" s="41">
        <f>(MAX(B52:D52)-MIN(B52:D52))/F52</f>
        <v/>
      </c>
      <c r="H52" s="13" t="inlineStr">
        <is>
          <t>Focus &amp; output</t>
        </is>
      </c>
    </row>
    <row r="53">
      <c r="A53" s="5" t="inlineStr">
        <is>
          <t>Stress (1-10)</t>
        </is>
      </c>
      <c r="B53" s="41" t="n">
        <v>5.5012</v>
      </c>
      <c r="C53" s="41" t="n">
        <v>5.4939</v>
      </c>
      <c r="D53" s="41" t="n">
        <v>5.5019</v>
      </c>
      <c r="E53" s="42" t="n">
        <v>5.4995</v>
      </c>
      <c r="F53" s="43" t="n">
        <v>2.8714</v>
      </c>
      <c r="G53" s="41">
        <f>(MAX(B53:D53)-MIN(B53:D53))/F53</f>
        <v/>
      </c>
      <c r="H53" s="13" t="inlineStr">
        <is>
          <t>Sleep &amp; recovery</t>
        </is>
      </c>
    </row>
    <row r="54">
      <c r="A54" s="5" t="inlineStr">
        <is>
          <t>Internet stability (1-10)</t>
        </is>
      </c>
      <c r="B54" s="41" t="n">
        <v>5.4939</v>
      </c>
      <c r="C54" s="41" t="n">
        <v>5.5016</v>
      </c>
      <c r="D54" s="41" t="n">
        <v>5.5013</v>
      </c>
      <c r="E54" s="42" t="n">
        <v>5.5004</v>
      </c>
      <c r="F54" s="43" t="n">
        <v>2.873</v>
      </c>
      <c r="G54" s="41">
        <f>(MAX(B54:D54)-MIN(B54:D54))/F54</f>
        <v/>
      </c>
      <c r="H54" s="13" t="inlineStr">
        <is>
          <t>Work environment</t>
        </is>
      </c>
    </row>
    <row r="55">
      <c r="A55" s="5" t="inlineStr">
        <is>
          <t>Caffeine intake (per day, unit not stated)</t>
        </is>
      </c>
      <c r="B55" s="41" t="n">
        <v>3.4984</v>
      </c>
      <c r="C55" s="41" t="n">
        <v>3.5016</v>
      </c>
      <c r="D55" s="41" t="n">
        <v>3.5036</v>
      </c>
      <c r="E55" s="42" t="n">
        <v>3.5005</v>
      </c>
      <c r="F55" s="43" t="n">
        <v>2.2914</v>
      </c>
      <c r="G55" s="41">
        <f>(MAX(B55:D55)-MIN(B55:D55))/F55</f>
        <v/>
      </c>
      <c r="H55" s="13" t="inlineStr">
        <is>
          <t>Sleep &amp; recovery</t>
        </is>
      </c>
    </row>
    <row r="56">
      <c r="A56" s="5" t="inlineStr">
        <is>
          <t>Sleep (h/night)</t>
        </is>
      </c>
      <c r="B56" s="41" t="n">
        <v>6.4981</v>
      </c>
      <c r="C56" s="41" t="n">
        <v>6.5006</v>
      </c>
      <c r="D56" s="41" t="n">
        <v>6.5</v>
      </c>
      <c r="E56" s="42" t="n">
        <v>6.5007</v>
      </c>
      <c r="F56" s="43" t="n">
        <v>1.4586</v>
      </c>
      <c r="G56" s="41">
        <f>(MAX(B56:D56)-MIN(B56:D56))/F56</f>
        <v/>
      </c>
      <c r="H56" s="13" t="inlineStr">
        <is>
          <t>Sleep &amp; recovery</t>
        </is>
      </c>
    </row>
    <row r="57">
      <c r="A57" s="5" t="inlineStr">
        <is>
          <t>Remote days per week</t>
        </is>
      </c>
      <c r="B57" s="41" t="n">
        <v>2.9967</v>
      </c>
      <c r="C57" s="41" t="n">
        <v>3.0001</v>
      </c>
      <c r="D57" s="41" t="n">
        <v>2.9974</v>
      </c>
      <c r="E57" s="42" t="n">
        <v>3.0006</v>
      </c>
      <c r="F57" s="43" t="n">
        <v>1.9999</v>
      </c>
      <c r="G57" s="41">
        <f>(MAX(B57:D57)-MIN(B57:D57))/F57</f>
        <v/>
      </c>
      <c r="H57" s="13" t="inlineStr">
        <is>
          <t>Work environment</t>
        </is>
      </c>
    </row>
    <row r="58">
      <c r="A58" s="5" t="inlineStr">
        <is>
          <t>Physical activity (h/day)</t>
        </is>
      </c>
      <c r="B58" s="41" t="n">
        <v>1.2369</v>
      </c>
      <c r="C58" s="41" t="n">
        <v>1.2382</v>
      </c>
      <c r="D58" s="41" t="n">
        <v>1.2372</v>
      </c>
      <c r="E58" s="42" t="n">
        <v>1.2378</v>
      </c>
      <c r="F58" s="43" t="n">
        <v>0.8300999999999999</v>
      </c>
      <c r="G58" s="41">
        <f>(MAX(B58:D58)-MIN(B58:D58))/F58</f>
        <v/>
      </c>
      <c r="H58" s="13" t="inlineStr">
        <is>
          <t>Sleep &amp; recovery</t>
        </is>
      </c>
    </row>
    <row r="59">
      <c r="A59" s="5" t="inlineStr">
        <is>
          <t>Sleep quality (1-10)</t>
        </is>
      </c>
      <c r="B59" s="41" t="n">
        <v>5.5022</v>
      </c>
      <c r="C59" s="41" t="n">
        <v>5.502</v>
      </c>
      <c r="D59" s="41" t="n">
        <v>5.5014</v>
      </c>
      <c r="E59" s="42" t="n">
        <v>5.5026</v>
      </c>
      <c r="F59" s="43" t="n">
        <v>2.872</v>
      </c>
      <c r="G59" s="41">
        <f>(MAX(B59:D59)-MIN(B59:D59))/F59</f>
        <v/>
      </c>
      <c r="H59" s="13" t="inlineStr">
        <is>
          <t>Sleep &amp; recovery</t>
        </is>
      </c>
    </row>
    <row r="62">
      <c r="A62" s="10" t="inlineStr">
        <is>
          <t>d. Correlations inside each group</t>
        </is>
      </c>
    </row>
    <row r="63">
      <c r="A63" s="17" t="inlineStr">
        <is>
          <t>Source: reports/04_within_group_correlation.csv. Bold italic cells with a border: opposite sign to all employees (selection effect). Last two columns: factors with the same direction in every group (formulas using C4 and C5).</t>
        </is>
      </c>
    </row>
    <row r="64" ht="30" customHeight="1">
      <c r="A64" s="3" t="inlineStr">
        <is>
          <t>Factor</t>
        </is>
      </c>
      <c r="B64" s="4" t="inlineStr">
        <is>
          <t>N2 · burnout</t>
        </is>
      </c>
      <c r="C64" s="4" t="inlineStr">
        <is>
          <t>N3 · burnout</t>
        </is>
      </c>
      <c r="D64" s="4" t="inlineStr">
        <is>
          <t>N4 · burnout</t>
        </is>
      </c>
      <c r="E64" s="4" t="inlineStr">
        <is>
          <t>All · burnout</t>
        </is>
      </c>
      <c r="F64" s="4" t="inlineStr">
        <is>
          <t>N2 · productivity</t>
        </is>
      </c>
      <c r="G64" s="4" t="inlineStr">
        <is>
          <t>N3 · productivity</t>
        </is>
      </c>
      <c r="H64" s="4" t="inlineStr">
        <is>
          <t>N4 · productivity</t>
        </is>
      </c>
      <c r="I64" s="4" t="inlineStr">
        <is>
          <t>All · productivity</t>
        </is>
      </c>
      <c r="J64" s="4" t="inlineStr">
        <is>
          <t>Reliable lever (burnout)</t>
        </is>
      </c>
      <c r="K64" s="4" t="inlineStr">
        <is>
          <t>Reliable lever (productivity)</t>
        </is>
      </c>
    </row>
    <row r="65">
      <c r="A65" s="5" t="inlineStr">
        <is>
          <t>Deep work (h/day)</t>
        </is>
      </c>
      <c r="B65" s="18" t="n">
        <v>-0.017</v>
      </c>
      <c r="C65" s="18" t="n">
        <v>-0.0252</v>
      </c>
      <c r="D65" s="18" t="n">
        <v>-0.0733</v>
      </c>
      <c r="E65" s="44" t="n">
        <v>-0.0464</v>
      </c>
      <c r="F65" s="18" t="n">
        <v>0.4899</v>
      </c>
      <c r="G65" s="18" t="n">
        <v>0.4914</v>
      </c>
      <c r="H65" s="18" t="n">
        <v>0.5123</v>
      </c>
      <c r="I65" s="44" t="n">
        <v>0.5546</v>
      </c>
      <c r="J65" s="13">
        <f>IF(AND(ABS(E65)&gt;=$C$4,ABS(B65)&gt;=$C$5,ABS(C65)&gt;=$C$5,ABS(D65)&gt;=$C$5,SIGN(B65)=SIGN(E65),SIGN(C65)=SIGN(E65),SIGN(D65)=SIGN(E65)),IF(E65&gt;0,"✓ higher burnout","✓ lower burnout"),"")</f>
        <v/>
      </c>
      <c r="K65" s="13">
        <f>IF(AND(ABS(I65)&gt;=$C$4,ABS(F65)&gt;=$C$5,ABS(G65)&gt;=$C$5,ABS(H65)&gt;=$C$5,SIGN(F65)=SIGN(I65),SIGN(G65)=SIGN(I65),SIGN(H65)=SIGN(I65)),IF(I65&gt;0,"✓ higher productivity","✓ lower productivity"),"")</f>
        <v/>
      </c>
    </row>
    <row r="66">
      <c r="A66" s="5" t="inlineStr">
        <is>
          <t>Emotional exhaustion (1-10)</t>
        </is>
      </c>
      <c r="B66" s="18" t="n">
        <v>0.4593</v>
      </c>
      <c r="C66" s="18" t="n">
        <v>0.4388</v>
      </c>
      <c r="D66" s="18" t="n">
        <v>0.438</v>
      </c>
      <c r="E66" s="44" t="n">
        <v>0.512</v>
      </c>
      <c r="F66" s="18" t="n">
        <v>-0.1264</v>
      </c>
      <c r="G66" s="18" t="n">
        <v>-0.1839</v>
      </c>
      <c r="H66" s="18" t="n">
        <v>-0.1763</v>
      </c>
      <c r="I66" s="44" t="n">
        <v>-0.1819</v>
      </c>
      <c r="J66" s="13">
        <f>IF(AND(ABS(E66)&gt;=$C$4,ABS(B66)&gt;=$C$5,ABS(C66)&gt;=$C$5,ABS(D66)&gt;=$C$5,SIGN(B66)=SIGN(E66),SIGN(C66)=SIGN(E66),SIGN(D66)=SIGN(E66)),IF(E66&gt;0,"✓ higher burnout","✓ lower burnout"),"")</f>
        <v/>
      </c>
      <c r="K66" s="13">
        <f>IF(AND(ABS(I66)&gt;=$C$4,ABS(F66)&gt;=$C$5,ABS(G66)&gt;=$C$5,ABS(H66)&gt;=$C$5,SIGN(F66)=SIGN(I66),SIGN(G66)=SIGN(I66),SIGN(H66)=SIGN(I66)),IF(I66&gt;0,"✓ higher productivity","✓ lower productivity"),"")</f>
        <v/>
      </c>
    </row>
    <row r="67">
      <c r="A67" s="5" t="inlineStr">
        <is>
          <t>Stress (1-10)</t>
        </is>
      </c>
      <c r="B67" s="18" t="n">
        <v>0.4113</v>
      </c>
      <c r="C67" s="18" t="n">
        <v>0.4113</v>
      </c>
      <c r="D67" s="18" t="n">
        <v>0.41</v>
      </c>
      <c r="E67" s="44" t="n">
        <v>0.3828</v>
      </c>
      <c r="F67" s="18" t="n">
        <v>-0.18</v>
      </c>
      <c r="G67" s="18" t="n">
        <v>-0.1682</v>
      </c>
      <c r="H67" s="18" t="n">
        <v>-0.1622</v>
      </c>
      <c r="I67" s="44" t="n">
        <v>-0.135</v>
      </c>
      <c r="J67" s="13">
        <f>IF(AND(ABS(E67)&gt;=$C$4,ABS(B67)&gt;=$C$5,ABS(C67)&gt;=$C$5,ABS(D67)&gt;=$C$5,SIGN(B67)=SIGN(E67),SIGN(C67)=SIGN(E67),SIGN(D67)=SIGN(E67)),IF(E67&gt;0,"✓ higher burnout","✓ lower burnout"),"")</f>
        <v/>
      </c>
      <c r="K67" s="13">
        <f>IF(AND(ABS(I67)&gt;=$C$4,ABS(F67)&gt;=$C$5,ABS(G67)&gt;=$C$5,ABS(H67)&gt;=$C$5,SIGN(F67)=SIGN(I67),SIGN(G67)=SIGN(I67),SIGN(H67)=SIGN(I67)),IF(I67&gt;0,"✓ higher productivity","✓ lower productivity"),"")</f>
        <v/>
      </c>
    </row>
    <row r="68">
      <c r="A68" s="5" t="inlineStr">
        <is>
          <t>Task completion rate (%)</t>
        </is>
      </c>
      <c r="B68" s="18" t="n">
        <v>0.0338</v>
      </c>
      <c r="C68" s="18" t="n">
        <v>0.0013</v>
      </c>
      <c r="D68" s="18" t="n">
        <v>0.0105</v>
      </c>
      <c r="E68" s="44" t="n">
        <v>0.0001</v>
      </c>
      <c r="F68" s="18" t="n">
        <v>0.199</v>
      </c>
      <c r="G68" s="18" t="n">
        <v>0.2468</v>
      </c>
      <c r="H68" s="18" t="n">
        <v>0.2115</v>
      </c>
      <c r="I68" s="44" t="n">
        <v>0.3558</v>
      </c>
      <c r="J68" s="13">
        <f>IF(AND(ABS(E68)&gt;=$C$4,ABS(B68)&gt;=$C$5,ABS(C68)&gt;=$C$5,ABS(D68)&gt;=$C$5,SIGN(B68)=SIGN(E68),SIGN(C68)=SIGN(E68),SIGN(D68)=SIGN(E68)),IF(E68&gt;0,"✓ higher burnout","✓ lower burnout"),"")</f>
        <v/>
      </c>
      <c r="K68" s="13">
        <f>IF(AND(ABS(I68)&gt;=$C$4,ABS(F68)&gt;=$C$5,ABS(G68)&gt;=$C$5,ABS(H68)&gt;=$C$5,SIGN(F68)=SIGN(I68),SIGN(G68)=SIGN(I68),SIGN(H68)=SIGN(I68)),IF(I68&gt;0,"✓ higher productivity","✓ lower productivity"),"")</f>
        <v/>
      </c>
    </row>
    <row r="69">
      <c r="A69" s="5" t="inlineStr">
        <is>
          <t>Concentration (1-10)</t>
        </is>
      </c>
      <c r="B69" s="18" t="n">
        <v>0.0347</v>
      </c>
      <c r="C69" s="18" t="n">
        <v>0.0005</v>
      </c>
      <c r="D69" s="18" t="n">
        <v>0.0115</v>
      </c>
      <c r="E69" s="44" t="n">
        <v>-0</v>
      </c>
      <c r="F69" s="18" t="n">
        <v>0.1861</v>
      </c>
      <c r="G69" s="18" t="n">
        <v>0.236</v>
      </c>
      <c r="H69" s="18" t="n">
        <v>0.1986</v>
      </c>
      <c r="I69" s="44" t="n">
        <v>0.3473</v>
      </c>
      <c r="J69" s="13">
        <f>IF(AND(ABS(E69)&gt;=$C$4,ABS(B69)&gt;=$C$5,ABS(C69)&gt;=$C$5,ABS(D69)&gt;=$C$5,SIGN(B69)=SIGN(E69),SIGN(C69)=SIGN(E69),SIGN(D69)=SIGN(E69)),IF(E69&gt;0,"✓ higher burnout","✓ lower burnout"),"")</f>
        <v/>
      </c>
      <c r="K69" s="13">
        <f>IF(AND(ABS(I69)&gt;=$C$4,ABS(F69)&gt;=$C$5,ABS(G69)&gt;=$C$5,ABS(H69)&gt;=$C$5,SIGN(F69)=SIGN(I69),SIGN(G69)=SIGN(I69),SIGN(H69)=SIGN(I69)),IF(I69&gt;0,"✓ higher productivity","✓ lower productivity"),"")</f>
        <v/>
      </c>
    </row>
    <row r="70">
      <c r="A70" s="5" t="inlineStr">
        <is>
          <t>Job satisfaction (1-10)</t>
        </is>
      </c>
      <c r="B70" s="18" t="n">
        <v>-0.1265</v>
      </c>
      <c r="C70" s="18" t="n">
        <v>-0.1526</v>
      </c>
      <c r="D70" s="18" t="n">
        <v>-0.1532</v>
      </c>
      <c r="E70" s="44" t="n">
        <v>-0.2544</v>
      </c>
      <c r="F70" s="18" t="n">
        <v>-0.0194</v>
      </c>
      <c r="G70" s="18" t="n">
        <v>0.0653</v>
      </c>
      <c r="H70" s="18" t="n">
        <v>0.0673</v>
      </c>
      <c r="I70" s="44" t="n">
        <v>0.0905</v>
      </c>
      <c r="J70" s="13">
        <f>IF(AND(ABS(E70)&gt;=$C$4,ABS(B70)&gt;=$C$5,ABS(C70)&gt;=$C$5,ABS(D70)&gt;=$C$5,SIGN(B70)=SIGN(E70),SIGN(C70)=SIGN(E70),SIGN(D70)=SIGN(E70)),IF(E70&gt;0,"✓ higher burnout","✓ lower burnout"),"")</f>
        <v/>
      </c>
      <c r="K70" s="13">
        <f>IF(AND(ABS(I70)&gt;=$C$4,ABS(F70)&gt;=$C$5,ABS(G70)&gt;=$C$5,ABS(H70)&gt;=$C$5,SIGN(F70)=SIGN(I70),SIGN(G70)=SIGN(I70),SIGN(H70)=SIGN(I70)),IF(I70&gt;0,"✓ higher productivity","✓ lower productivity"),"")</f>
        <v/>
      </c>
    </row>
    <row r="71">
      <c r="A71" s="5" t="inlineStr">
        <is>
          <t>Focus sessions per day</t>
        </is>
      </c>
      <c r="B71" s="18" t="n">
        <v>0.0352</v>
      </c>
      <c r="C71" s="18" t="n">
        <v>0.0031</v>
      </c>
      <c r="D71" s="18" t="n">
        <v>0.0112</v>
      </c>
      <c r="E71" s="44" t="n">
        <v>0.0011</v>
      </c>
      <c r="F71" s="18" t="n">
        <v>0.0177</v>
      </c>
      <c r="G71" s="18" t="n">
        <v>0.08550000000000001</v>
      </c>
      <c r="H71" s="18" t="n">
        <v>0.0493</v>
      </c>
      <c r="I71" s="44" t="n">
        <v>0.2301</v>
      </c>
      <c r="J71" s="13">
        <f>IF(AND(ABS(E71)&gt;=$C$4,ABS(B71)&gt;=$C$5,ABS(C71)&gt;=$C$5,ABS(D71)&gt;=$C$5,SIGN(B71)=SIGN(E71),SIGN(C71)=SIGN(E71),SIGN(D71)=SIGN(E71)),IF(E71&gt;0,"✓ higher burnout","✓ lower burnout"),"")</f>
        <v/>
      </c>
      <c r="K71" s="13">
        <f>IF(AND(ABS(I71)&gt;=$C$4,ABS(F71)&gt;=$C$5,ABS(G71)&gt;=$C$5,ABS(H71)&gt;=$C$5,SIGN(F71)=SIGN(I71),SIGN(G71)=SIGN(I71),SIGN(H71)=SIGN(I71)),IF(I71&gt;0,"✓ higher productivity","✓ lower productivity"),"")</f>
        <v/>
      </c>
    </row>
    <row r="72">
      <c r="A72" s="5" t="inlineStr">
        <is>
          <t>Motivation (1-10)</t>
        </is>
      </c>
      <c r="B72" s="18" t="n">
        <v>0.2005</v>
      </c>
      <c r="C72" s="18" t="n">
        <v>0.1329</v>
      </c>
      <c r="D72" s="18" t="n">
        <v>0.1317</v>
      </c>
      <c r="E72" s="44" t="n">
        <v>0.0003</v>
      </c>
      <c r="F72" s="18" t="n">
        <v>0.1987</v>
      </c>
      <c r="G72" s="18" t="n">
        <v>0.2481</v>
      </c>
      <c r="H72" s="18" t="n">
        <v>0.2317</v>
      </c>
      <c r="I72" s="44" t="n">
        <v>0.229</v>
      </c>
      <c r="J72" s="13">
        <f>IF(AND(ABS(E72)&gt;=$C$4,ABS(B72)&gt;=$C$5,ABS(C72)&gt;=$C$5,ABS(D72)&gt;=$C$5,SIGN(B72)=SIGN(E72),SIGN(C72)=SIGN(E72),SIGN(D72)=SIGN(E72)),IF(E72&gt;0,"✓ higher burnout","✓ lower burnout"),"")</f>
        <v/>
      </c>
      <c r="K72" s="13">
        <f>IF(AND(ABS(I72)&gt;=$C$4,ABS(F72)&gt;=$C$5,ABS(G72)&gt;=$C$5,ABS(H72)&gt;=$C$5,SIGN(F72)=SIGN(I72),SIGN(G72)=SIGN(I72),SIGN(H72)=SIGN(I72)),IF(I72&gt;0,"✓ higher productivity","✓ lower productivity"),"")</f>
        <v/>
      </c>
    </row>
    <row r="73">
      <c r="A73" s="5" t="inlineStr">
        <is>
          <t>Screen time (h/day)</t>
        </is>
      </c>
      <c r="B73" s="18" t="n">
        <v>0.1893</v>
      </c>
      <c r="C73" s="18" t="n">
        <v>0.2126</v>
      </c>
      <c r="D73" s="18" t="n">
        <v>0.2121</v>
      </c>
      <c r="E73" s="44" t="n">
        <v>0.2208</v>
      </c>
      <c r="F73" s="18" t="n">
        <v>-0.0606</v>
      </c>
      <c r="G73" s="18" t="n">
        <v>-0.0765</v>
      </c>
      <c r="H73" s="18" t="n">
        <v>-0.0708</v>
      </c>
      <c r="I73" s="44" t="n">
        <v>-0.07779999999999999</v>
      </c>
      <c r="J73" s="13">
        <f>IF(AND(ABS(E73)&gt;=$C$4,ABS(B73)&gt;=$C$5,ABS(C73)&gt;=$C$5,ABS(D73)&gt;=$C$5,SIGN(B73)=SIGN(E73),SIGN(C73)=SIGN(E73),SIGN(D73)=SIGN(E73)),IF(E73&gt;0,"✓ higher burnout","✓ lower burnout"),"")</f>
        <v/>
      </c>
      <c r="K73" s="13">
        <f>IF(AND(ABS(I73)&gt;=$C$4,ABS(F73)&gt;=$C$5,ABS(G73)&gt;=$C$5,ABS(H73)&gt;=$C$5,SIGN(F73)=SIGN(I73),SIGN(G73)=SIGN(I73),SIGN(H73)=SIGN(I73)),IF(I73&gt;0,"✓ higher productivity","✓ lower productivity"),"")</f>
        <v/>
      </c>
    </row>
    <row r="74">
      <c r="A74" s="5" t="inlineStr">
        <is>
          <t>Doomscrolling (h/day)</t>
        </is>
      </c>
      <c r="B74" s="18" t="n">
        <v>0.1743</v>
      </c>
      <c r="C74" s="18" t="n">
        <v>0.1896</v>
      </c>
      <c r="D74" s="18" t="n">
        <v>0.1914</v>
      </c>
      <c r="E74" s="44" t="n">
        <v>0.2003</v>
      </c>
      <c r="F74" s="18" t="n">
        <v>-0.0526</v>
      </c>
      <c r="G74" s="18" t="n">
        <v>-0.0682</v>
      </c>
      <c r="H74" s="18" t="n">
        <v>-0.06270000000000001</v>
      </c>
      <c r="I74" s="44" t="n">
        <v>-0.07149999999999999</v>
      </c>
      <c r="J74" s="13">
        <f>IF(AND(ABS(E74)&gt;=$C$4,ABS(B74)&gt;=$C$5,ABS(C74)&gt;=$C$5,ABS(D74)&gt;=$C$5,SIGN(B74)=SIGN(E74),SIGN(C74)=SIGN(E74),SIGN(D74)=SIGN(E74)),IF(E74&gt;0,"✓ higher burnout","✓ lower burnout"),"")</f>
        <v/>
      </c>
      <c r="K74" s="13">
        <f>IF(AND(ABS(I74)&gt;=$C$4,ABS(F74)&gt;=$C$5,ABS(G74)&gt;=$C$5,ABS(H74)&gt;=$C$5,SIGN(F74)=SIGN(I74),SIGN(G74)=SIGN(I74),SIGN(H74)=SIGN(I74)),IF(I74&gt;0,"✓ higher productivity","✓ lower productivity"),"")</f>
        <v/>
      </c>
    </row>
    <row r="75">
      <c r="A75" s="5" t="inlineStr">
        <is>
          <t>Workspace quality (1-10)</t>
        </is>
      </c>
      <c r="B75" s="18" t="n">
        <v>0.0002</v>
      </c>
      <c r="C75" s="18" t="n">
        <v>0.0014</v>
      </c>
      <c r="D75" s="18" t="n">
        <v>-0.0017</v>
      </c>
      <c r="E75" s="44" t="n">
        <v>0.0001</v>
      </c>
      <c r="F75" s="18" t="n">
        <v>0.2272</v>
      </c>
      <c r="G75" s="18" t="n">
        <v>0.2163</v>
      </c>
      <c r="H75" s="18" t="n">
        <v>0.2076</v>
      </c>
      <c r="I75" s="44" t="n">
        <v>0.1723</v>
      </c>
      <c r="J75" s="13">
        <f>IF(AND(ABS(E75)&gt;=$C$4,ABS(B75)&gt;=$C$5,ABS(C75)&gt;=$C$5,ABS(D75)&gt;=$C$5,SIGN(B75)=SIGN(E75),SIGN(C75)=SIGN(E75),SIGN(D75)=SIGN(E75)),IF(E75&gt;0,"✓ higher burnout","✓ lower burnout"),"")</f>
        <v/>
      </c>
      <c r="K75" s="13">
        <f>IF(AND(ABS(I75)&gt;=$C$4,ABS(F75)&gt;=$C$5,ABS(G75)&gt;=$C$5,ABS(H75)&gt;=$C$5,SIGN(F75)=SIGN(I75),SIGN(G75)=SIGN(I75),SIGN(H75)=SIGN(I75)),IF(I75&gt;0,"✓ higher productivity","✓ lower productivity"),"")</f>
        <v/>
      </c>
    </row>
    <row r="76">
      <c r="A76" s="5" t="inlineStr">
        <is>
          <t>Late-night device use (0/1)</t>
        </is>
      </c>
      <c r="B76" s="18" t="n">
        <v>0.0907</v>
      </c>
      <c r="C76" s="18" t="n">
        <v>0.1475</v>
      </c>
      <c r="D76" s="18" t="n">
        <v>0.1464</v>
      </c>
      <c r="E76" s="44" t="n">
        <v>0.158</v>
      </c>
      <c r="F76" s="18" t="n">
        <v>-0.0178</v>
      </c>
      <c r="G76" s="18" t="n">
        <v>-0.046</v>
      </c>
      <c r="H76" s="18" t="n">
        <v>-0.0479</v>
      </c>
      <c r="I76" s="44" t="n">
        <v>-0.0558</v>
      </c>
      <c r="J76" s="13">
        <f>IF(AND(ABS(E76)&gt;=$C$4,ABS(B76)&gt;=$C$5,ABS(C76)&gt;=$C$5,ABS(D76)&gt;=$C$5,SIGN(B76)=SIGN(E76),SIGN(C76)=SIGN(E76),SIGN(D76)=SIGN(E76)),IF(E76&gt;0,"✓ higher burnout","✓ lower burnout"),"")</f>
        <v/>
      </c>
      <c r="K76" s="13">
        <f>IF(AND(ABS(I76)&gt;=$C$4,ABS(F76)&gt;=$C$5,ABS(G76)&gt;=$C$5,ABS(H76)&gt;=$C$5,SIGN(F76)=SIGN(I76),SIGN(G76)=SIGN(I76),SIGN(H76)=SIGN(I76)),IF(I76&gt;0,"✓ higher productivity","✓ lower productivity"),"")</f>
        <v/>
      </c>
    </row>
    <row r="77">
      <c r="A77" s="5" t="inlineStr">
        <is>
          <t>Distractions per day</t>
        </is>
      </c>
      <c r="B77" s="18" t="n">
        <v>0.1502</v>
      </c>
      <c r="C77" s="18" t="n">
        <v>0.1701</v>
      </c>
      <c r="D77" s="18" t="n">
        <v>0.1633</v>
      </c>
      <c r="E77" s="44" t="n">
        <v>0.1522</v>
      </c>
      <c r="F77" s="18" t="n">
        <v>0.2491</v>
      </c>
      <c r="G77" s="18" t="n">
        <v>0.1449</v>
      </c>
      <c r="H77" s="18" t="n">
        <v>0.167</v>
      </c>
      <c r="I77" s="44" t="n">
        <v>-0.0541</v>
      </c>
      <c r="J77" s="13">
        <f>IF(AND(ABS(E77)&gt;=$C$4,ABS(B77)&gt;=$C$5,ABS(C77)&gt;=$C$5,ABS(D77)&gt;=$C$5,SIGN(B77)=SIGN(E77),SIGN(C77)=SIGN(E77),SIGN(D77)=SIGN(E77)),IF(E77&gt;0,"✓ higher burnout","✓ lower burnout"),"")</f>
        <v/>
      </c>
      <c r="K77" s="13">
        <f>IF(AND(ABS(I77)&gt;=$C$4,ABS(F77)&gt;=$C$5,ABS(G77)&gt;=$C$5,ABS(H77)&gt;=$C$5,SIGN(F77)=SIGN(I77),SIGN(G77)=SIGN(I77),SIGN(H77)=SIGN(I77)),IF(I77&gt;0,"✓ higher productivity","✓ lower productivity"),"")</f>
        <v/>
      </c>
    </row>
    <row r="78">
      <c r="A78" s="5" t="inlineStr">
        <is>
          <t>Social media (h/day)</t>
        </is>
      </c>
      <c r="B78" s="18" t="n">
        <v>-0.059</v>
      </c>
      <c r="C78" s="18" t="n">
        <v>-0.0292</v>
      </c>
      <c r="D78" s="18" t="n">
        <v>-0.0311</v>
      </c>
      <c r="E78" s="44" t="n">
        <v>-0.0002</v>
      </c>
      <c r="F78" s="18" t="n">
        <v>-0.1498</v>
      </c>
      <c r="G78" s="18" t="n">
        <v>-0.1538</v>
      </c>
      <c r="H78" s="18" t="n">
        <v>-0.1442</v>
      </c>
      <c r="I78" s="44" t="n">
        <v>-0.14</v>
      </c>
      <c r="J78" s="13">
        <f>IF(AND(ABS(E78)&gt;=$C$4,ABS(B78)&gt;=$C$5,ABS(C78)&gt;=$C$5,ABS(D78)&gt;=$C$5,SIGN(B78)=SIGN(E78),SIGN(C78)=SIGN(E78),SIGN(D78)=SIGN(E78)),IF(E78&gt;0,"✓ higher burnout","✓ lower burnout"),"")</f>
        <v/>
      </c>
      <c r="K78" s="13">
        <f>IF(AND(ABS(I78)&gt;=$C$4,ABS(F78)&gt;=$C$5,ABS(G78)&gt;=$C$5,ABS(H78)&gt;=$C$5,SIGN(F78)=SIGN(I78),SIGN(G78)=SIGN(I78),SIGN(H78)=SIGN(I78)),IF(I78&gt;0,"✓ higher productivity","✓ lower productivity"),"")</f>
        <v/>
      </c>
    </row>
    <row r="79">
      <c r="A79" s="5" t="inlineStr">
        <is>
          <t>Sleep (h/night)</t>
        </is>
      </c>
      <c r="B79" s="18" t="n">
        <v>-0.1381</v>
      </c>
      <c r="C79" s="18" t="n">
        <v>-0.1382</v>
      </c>
      <c r="D79" s="18" t="n">
        <v>-0.1379</v>
      </c>
      <c r="E79" s="44" t="n">
        <v>-0.1294</v>
      </c>
      <c r="F79" s="18" t="n">
        <v>0.0601</v>
      </c>
      <c r="G79" s="18" t="n">
        <v>0.0567</v>
      </c>
      <c r="H79" s="18" t="n">
        <v>0.0558</v>
      </c>
      <c r="I79" s="44" t="n">
        <v>0.0462</v>
      </c>
      <c r="J79" s="13">
        <f>IF(AND(ABS(E79)&gt;=$C$4,ABS(B79)&gt;=$C$5,ABS(C79)&gt;=$C$5,ABS(D79)&gt;=$C$5,SIGN(B79)=SIGN(E79),SIGN(C79)=SIGN(E79),SIGN(D79)=SIGN(E79)),IF(E79&gt;0,"✓ higher burnout","✓ lower burnout"),"")</f>
        <v/>
      </c>
      <c r="K79" s="13">
        <f>IF(AND(ABS(I79)&gt;=$C$4,ABS(F79)&gt;=$C$5,ABS(G79)&gt;=$C$5,ABS(H79)&gt;=$C$5,SIGN(F79)=SIGN(I79),SIGN(G79)=SIGN(I79),SIGN(H79)=SIGN(I79)),IF(I79&gt;0,"✓ higher productivity","✓ lower productivity"),"")</f>
        <v/>
      </c>
    </row>
    <row r="80">
      <c r="A80" s="5" t="inlineStr">
        <is>
          <t>Physical activity (h/day)</t>
        </is>
      </c>
      <c r="B80" s="18" t="n">
        <v>-0.1183</v>
      </c>
      <c r="C80" s="18" t="n">
        <v>-0.1204</v>
      </c>
      <c r="D80" s="18" t="n">
        <v>-0.1181</v>
      </c>
      <c r="E80" s="44" t="n">
        <v>-0.1107</v>
      </c>
      <c r="F80" s="18" t="n">
        <v>0.0527</v>
      </c>
      <c r="G80" s="18" t="n">
        <v>0.0488</v>
      </c>
      <c r="H80" s="18" t="n">
        <v>0.0472</v>
      </c>
      <c r="I80" s="44" t="n">
        <v>0.04</v>
      </c>
      <c r="J80" s="13">
        <f>IF(AND(ABS(E80)&gt;=$C$4,ABS(B80)&gt;=$C$5,ABS(C80)&gt;=$C$5,ABS(D80)&gt;=$C$5,SIGN(B80)=SIGN(E80),SIGN(C80)=SIGN(E80),SIGN(D80)=SIGN(E80)),IF(E80&gt;0,"✓ higher burnout","✓ lower burnout"),"")</f>
        <v/>
      </c>
      <c r="K80" s="13">
        <f>IF(AND(ABS(I80)&gt;=$C$4,ABS(F80)&gt;=$C$5,ABS(G80)&gt;=$C$5,ABS(H80)&gt;=$C$5,SIGN(F80)=SIGN(I80),SIGN(G80)=SIGN(I80),SIGN(H80)=SIGN(I80)),IF(I80&gt;0,"✓ higher productivity","✓ lower productivity"),"")</f>
        <v/>
      </c>
    </row>
    <row r="81">
      <c r="A81" s="5" t="inlineStr">
        <is>
          <t>Notifications per day</t>
        </is>
      </c>
      <c r="B81" s="18" t="n">
        <v>0.0483</v>
      </c>
      <c r="C81" s="18" t="n">
        <v>0.0766</v>
      </c>
      <c r="D81" s="18" t="n">
        <v>0.0796</v>
      </c>
      <c r="E81" s="44" t="n">
        <v>0.09669999999999999</v>
      </c>
      <c r="F81" s="18" t="n">
        <v>0.0034</v>
      </c>
      <c r="G81" s="18" t="n">
        <v>-0.0224</v>
      </c>
      <c r="H81" s="18" t="n">
        <v>-0.0181</v>
      </c>
      <c r="I81" s="44" t="n">
        <v>-0.0339</v>
      </c>
      <c r="J81" s="13">
        <f>IF(AND(ABS(E81)&gt;=$C$4,ABS(B81)&gt;=$C$5,ABS(C81)&gt;=$C$5,ABS(D81)&gt;=$C$5,SIGN(B81)=SIGN(E81),SIGN(C81)=SIGN(E81),SIGN(D81)=SIGN(E81)),IF(E81&gt;0,"✓ higher burnout","✓ lower burnout"),"")</f>
        <v/>
      </c>
      <c r="K81" s="13">
        <f>IF(AND(ABS(I81)&gt;=$C$4,ABS(F81)&gt;=$C$5,ABS(G81)&gt;=$C$5,ABS(H81)&gt;=$C$5,SIGN(F81)=SIGN(I81),SIGN(G81)=SIGN(I81),SIGN(H81)=SIGN(I81)),IF(I81&gt;0,"✓ higher productivity","✓ lower productivity"),"")</f>
        <v/>
      </c>
    </row>
    <row r="82">
      <c r="A82" s="5" t="inlineStr">
        <is>
          <t>App switches per day</t>
        </is>
      </c>
      <c r="B82" s="18" t="n">
        <v>-0.0598</v>
      </c>
      <c r="C82" s="18" t="n">
        <v>-0.0311</v>
      </c>
      <c r="D82" s="18" t="n">
        <v>-0.0299</v>
      </c>
      <c r="E82" s="44" t="n">
        <v>-0.0008</v>
      </c>
      <c r="F82" s="18" t="n">
        <v>-0.0604</v>
      </c>
      <c r="G82" s="18" t="n">
        <v>-0.0829</v>
      </c>
      <c r="H82" s="18" t="n">
        <v>-0.0791</v>
      </c>
      <c r="I82" s="44" t="n">
        <v>-0.0822</v>
      </c>
      <c r="J82" s="13">
        <f>IF(AND(ABS(E82)&gt;=$C$4,ABS(B82)&gt;=$C$5,ABS(C82)&gt;=$C$5,ABS(D82)&gt;=$C$5,SIGN(B82)=SIGN(E82),SIGN(C82)=SIGN(E82),SIGN(D82)=SIGN(E82)),IF(E82&gt;0,"✓ higher burnout","✓ lower burnout"),"")</f>
        <v/>
      </c>
      <c r="K82" s="13">
        <f>IF(AND(ABS(I82)&gt;=$C$4,ABS(F82)&gt;=$C$5,ABS(G82)&gt;=$C$5,ABS(H82)&gt;=$C$5,SIGN(F82)=SIGN(I82),SIGN(G82)=SIGN(I82),SIGN(H82)=SIGN(I82)),IF(I82&gt;0,"✓ higher productivity","✓ lower productivity"),"")</f>
        <v/>
      </c>
    </row>
    <row r="83">
      <c r="A83" s="5" t="inlineStr">
        <is>
          <t>Mental fatigue (1-10)</t>
        </is>
      </c>
      <c r="B83" s="18" t="n">
        <v>-0.1992</v>
      </c>
      <c r="C83" s="18" t="n">
        <v>-0.1317</v>
      </c>
      <c r="D83" s="18" t="n">
        <v>-0.1339</v>
      </c>
      <c r="E83" s="44" t="n">
        <v>-0.0001</v>
      </c>
      <c r="F83" s="18" t="n">
        <v>0.1597</v>
      </c>
      <c r="G83" s="18" t="n">
        <v>0.0517</v>
      </c>
      <c r="H83" s="18" t="n">
        <v>0.0495</v>
      </c>
      <c r="I83" s="44" t="n">
        <v>0.0005999999999999999</v>
      </c>
      <c r="J83" s="13">
        <f>IF(AND(ABS(E83)&gt;=$C$4,ABS(B83)&gt;=$C$5,ABS(C83)&gt;=$C$5,ABS(D83)&gt;=$C$5,SIGN(B83)=SIGN(E83),SIGN(C83)=SIGN(E83),SIGN(D83)=SIGN(E83)),IF(E83&gt;0,"✓ higher burnout","✓ lower burnout"),"")</f>
        <v/>
      </c>
      <c r="K83" s="13">
        <f>IF(AND(ABS(I83)&gt;=$C$4,ABS(F83)&gt;=$C$5,ABS(G83)&gt;=$C$5,ABS(H83)&gt;=$C$5,SIGN(F83)=SIGN(I83),SIGN(G83)=SIGN(I83),SIGN(H83)=SIGN(I83)),IF(I83&gt;0,"✓ higher productivity","✓ lower productivity"),"")</f>
        <v/>
      </c>
    </row>
    <row r="84">
      <c r="A84" s="5" t="inlineStr">
        <is>
          <t>Phone unlocks per day</t>
        </is>
      </c>
      <c r="B84" s="18" t="n">
        <v>-0.0588</v>
      </c>
      <c r="C84" s="18" t="n">
        <v>-0.0295</v>
      </c>
      <c r="D84" s="18" t="n">
        <v>-0.0281</v>
      </c>
      <c r="E84" s="44" t="n">
        <v>-0.0002</v>
      </c>
      <c r="F84" s="18" t="n">
        <v>0.0483</v>
      </c>
      <c r="G84" s="18" t="n">
        <v>0.0222</v>
      </c>
      <c r="H84" s="18" t="n">
        <v>0.0225</v>
      </c>
      <c r="I84" s="44" t="n">
        <v>0.0001</v>
      </c>
      <c r="J84" s="13">
        <f>IF(AND(ABS(E84)&gt;=$C$4,ABS(B84)&gt;=$C$5,ABS(C84)&gt;=$C$5,ABS(D84)&gt;=$C$5,SIGN(B84)=SIGN(E84),SIGN(C84)=SIGN(E84),SIGN(D84)=SIGN(E84)),IF(E84&gt;0,"✓ higher burnout","✓ lower burnout"),"")</f>
        <v/>
      </c>
      <c r="K84" s="13">
        <f>IF(AND(ABS(I84)&gt;=$C$4,ABS(F84)&gt;=$C$5,ABS(G84)&gt;=$C$5,ABS(H84)&gt;=$C$5,SIGN(F84)=SIGN(I84),SIGN(G84)=SIGN(I84),SIGN(H84)=SIGN(I84)),IF(I84&gt;0,"✓ higher productivity","✓ lower productivity"),"")</f>
        <v/>
      </c>
    </row>
    <row r="85">
      <c r="A85" s="21" t="inlineStr">
        <is>
          <t>Why do some cells change sign? The groups were formed from these same measures, so inside a group the measures are tied to each other and some correlations weaken or reverse. Only factors with the same direction in every group should guide decisions.</t>
        </is>
      </c>
    </row>
    <row r="88">
      <c r="A88" s="39" t="inlineStr">
        <is>
          <t>'Low' risk level · N5, N6</t>
        </is>
      </c>
    </row>
    <row r="89">
      <c r="A89" s="15" t="inlineStr">
        <is>
          <t>Main issue of each group → N5: strength - light device use; N6: strength - strong focus.</t>
        </is>
      </c>
    </row>
    <row r="91">
      <c r="A91" s="10" t="inlineStr">
        <is>
          <t>a. Outcomes</t>
        </is>
      </c>
    </row>
    <row r="92">
      <c r="A92" s="17" t="inlineStr">
        <is>
          <t>Linked to the 'Groups' sheet. The last column is the gap between the highest and lowest group.</t>
        </is>
      </c>
    </row>
    <row r="93" ht="30" customHeight="1">
      <c r="A93" s="3" t="inlineStr">
        <is>
          <t>Measure</t>
        </is>
      </c>
      <c r="B93" s="4" t="inlineStr">
        <is>
          <t>N5</t>
        </is>
      </c>
      <c r="C93" s="4" t="inlineStr">
        <is>
          <t>N6</t>
        </is>
      </c>
      <c r="D93" s="4" t="inlineStr">
        <is>
          <t>All</t>
        </is>
      </c>
      <c r="E93" s="4" t="inlineStr">
        <is>
          <t>Gap between groups</t>
        </is>
      </c>
    </row>
    <row r="94">
      <c r="A94" s="5" t="inlineStr">
        <is>
          <t>Share of employees</t>
        </is>
      </c>
      <c r="B94" s="36">
        <f>Groups!E11</f>
        <v/>
      </c>
      <c r="C94" s="36">
        <f>Groups!E12</f>
        <v/>
      </c>
      <c r="D94" s="37">
        <f>Groups!E13</f>
        <v/>
      </c>
      <c r="E94" s="36">
        <f>MAX(B94:C94)-MIN(B94:C94)</f>
        <v/>
      </c>
    </row>
    <row r="95">
      <c r="A95" s="5" t="inlineStr">
        <is>
          <t>Burnout avg</t>
        </is>
      </c>
      <c r="B95" s="38">
        <f>Groups!F11</f>
        <v/>
      </c>
      <c r="C95" s="38">
        <f>Groups!F12</f>
        <v/>
      </c>
      <c r="D95" s="40">
        <f>Groups!F13</f>
        <v/>
      </c>
      <c r="E95" s="38">
        <f>MAX(B95:C95)-MIN(B95:C95)</f>
        <v/>
      </c>
    </row>
    <row r="96">
      <c r="A96" s="5" t="inlineStr">
        <is>
          <t>% burnout 70+</t>
        </is>
      </c>
      <c r="B96" s="36">
        <f>Groups!J11</f>
        <v/>
      </c>
      <c r="C96" s="36">
        <f>Groups!J12</f>
        <v/>
      </c>
      <c r="D96" s="37">
        <f>Groups!J13</f>
        <v/>
      </c>
      <c r="E96" s="36">
        <f>MAX(B96:C96)-MIN(B96:C96)</f>
        <v/>
      </c>
    </row>
    <row r="97">
      <c r="A97" s="5" t="inlineStr">
        <is>
          <t>Productivity avg</t>
        </is>
      </c>
      <c r="B97" s="38">
        <f>Groups!H11</f>
        <v/>
      </c>
      <c r="C97" s="38">
        <f>Groups!H12</f>
        <v/>
      </c>
      <c r="D97" s="40">
        <f>Groups!H13</f>
        <v/>
      </c>
      <c r="E97" s="38">
        <f>MAX(B97:C97)-MIN(B97:C97)</f>
        <v/>
      </c>
    </row>
    <row r="98">
      <c r="A98" s="5" t="inlineStr">
        <is>
          <t>% low productivity</t>
        </is>
      </c>
      <c r="B98" s="36">
        <f>Groups!K11</f>
        <v/>
      </c>
      <c r="C98" s="36">
        <f>Groups!K12</f>
        <v/>
      </c>
      <c r="D98" s="37">
        <f>Groups!K13</f>
        <v/>
      </c>
      <c r="E98" s="36">
        <f>MAX(B98:C98)-MIN(B98:C98)</f>
        <v/>
      </c>
    </row>
    <row r="99">
      <c r="A99" s="5" t="inlineStr">
        <is>
          <t>Warning signs / person</t>
        </is>
      </c>
      <c r="B99" s="41">
        <f>Groups!L11</f>
        <v/>
      </c>
      <c r="C99" s="41">
        <f>Groups!L12</f>
        <v/>
      </c>
      <c r="D99" s="42">
        <f>Groups!L13</f>
        <v/>
      </c>
      <c r="E99" s="41">
        <f>MAX(B99:C99)-MIN(B99:C99)</f>
        <v/>
      </c>
    </row>
    <row r="101">
      <c r="A101" s="10" t="inlineStr">
        <is>
          <t>b. Problem profile (standard deviations, positive = worse)</t>
        </is>
      </c>
    </row>
    <row r="102">
      <c r="A102" s="17" t="inlineStr">
        <is>
          <t>Linked to the problem-profile table on the 'Groups' sheet.</t>
        </is>
      </c>
    </row>
    <row r="103" ht="30" customHeight="1">
      <c r="A103" s="3" t="inlineStr">
        <is>
          <t>Problem score</t>
        </is>
      </c>
      <c r="B103" s="4" t="inlineStr">
        <is>
          <t>N5</t>
        </is>
      </c>
      <c r="C103" s="4" t="inlineStr">
        <is>
          <t>N6</t>
        </is>
      </c>
    </row>
    <row r="104">
      <c r="A104" s="5" t="inlineStr">
        <is>
          <t>Digital overload</t>
        </is>
      </c>
      <c r="B104" s="18">
        <f>Groups!C41</f>
        <v/>
      </c>
      <c r="C104" s="18">
        <f>Groups!C42</f>
        <v/>
      </c>
    </row>
    <row r="105">
      <c r="A105" s="5" t="inlineStr">
        <is>
          <t>Poor recovery</t>
        </is>
      </c>
      <c r="B105" s="18">
        <f>Groups!D41</f>
        <v/>
      </c>
      <c r="C105" s="18">
        <f>Groups!D42</f>
        <v/>
      </c>
    </row>
    <row r="106">
      <c r="A106" s="5" t="inlineStr">
        <is>
          <t>Low focus</t>
        </is>
      </c>
      <c r="B106" s="18">
        <f>Groups!E41</f>
        <v/>
      </c>
      <c r="C106" s="18">
        <f>Groups!E42</f>
        <v/>
      </c>
    </row>
    <row r="107">
      <c r="A107" s="5" t="inlineStr">
        <is>
          <t>Mental strain</t>
        </is>
      </c>
      <c r="B107" s="18">
        <f>Groups!F41</f>
        <v/>
      </c>
      <c r="C107" s="18">
        <f>Groups!F42</f>
        <v/>
      </c>
    </row>
    <row r="108">
      <c r="A108" s="5" t="inlineStr">
        <is>
          <t>Poor environment</t>
        </is>
      </c>
      <c r="B108" s="18">
        <f>Groups!G41</f>
        <v/>
      </c>
      <c r="C108" s="18">
        <f>Groups!G42</f>
        <v/>
      </c>
    </row>
    <row r="111">
      <c r="A111" s="10" t="inlineStr">
        <is>
          <t>c. Behaviours that differ most</t>
        </is>
      </c>
    </row>
    <row r="112">
      <c r="A112" s="17" t="inlineStr">
        <is>
          <t>Source: reports/04_segment_raw_means.csv. Gap (SD) = (highest - lowest group) / all-employee standard deviation.</t>
        </is>
      </c>
    </row>
    <row r="113" ht="30" customHeight="1">
      <c r="A113" s="3" t="inlineStr">
        <is>
          <t>Factor</t>
        </is>
      </c>
      <c r="B113" s="4" t="inlineStr">
        <is>
          <t>N5</t>
        </is>
      </c>
      <c r="C113" s="4" t="inlineStr">
        <is>
          <t>N6</t>
        </is>
      </c>
      <c r="D113" s="4" t="inlineStr">
        <is>
          <t>All</t>
        </is>
      </c>
      <c r="E113" s="4" t="inlineStr">
        <is>
          <t>SD</t>
        </is>
      </c>
      <c r="F113" s="4" t="inlineStr">
        <is>
          <t>Gap (SD)</t>
        </is>
      </c>
      <c r="G113" s="4" t="inlineStr">
        <is>
          <t>Factor group</t>
        </is>
      </c>
    </row>
    <row r="114">
      <c r="A114" s="5" t="inlineStr">
        <is>
          <t>Deep work (h/day)</t>
        </is>
      </c>
      <c r="B114" s="41" t="n">
        <v>2.9969</v>
      </c>
      <c r="C114" s="41" t="n">
        <v>3.8328</v>
      </c>
      <c r="D114" s="42" t="n">
        <v>3.0346</v>
      </c>
      <c r="E114" s="43" t="n">
        <v>1.7077</v>
      </c>
      <c r="F114" s="41">
        <f>(MAX(B114:C114)-MIN(B114:C114))/E114</f>
        <v/>
      </c>
      <c r="G114" s="13" t="inlineStr">
        <is>
          <t>Focus &amp; output</t>
        </is>
      </c>
    </row>
    <row r="115">
      <c r="A115" s="5" t="inlineStr">
        <is>
          <t>Motivation (1-10)</t>
        </is>
      </c>
      <c r="B115" s="41" t="n">
        <v>5.4867</v>
      </c>
      <c r="C115" s="41" t="n">
        <v>6.8559</v>
      </c>
      <c r="D115" s="42" t="n">
        <v>5.4895</v>
      </c>
      <c r="E115" s="43" t="n">
        <v>2.8439</v>
      </c>
      <c r="F115" s="41">
        <f>(MAX(B115:C115)-MIN(B115:C115))/E115</f>
        <v/>
      </c>
      <c r="G115" s="13" t="inlineStr">
        <is>
          <t>Mental state</t>
        </is>
      </c>
    </row>
    <row r="116">
      <c r="A116" s="5" t="inlineStr">
        <is>
          <t>Emotional exhaustion (1-10)</t>
        </is>
      </c>
      <c r="B116" s="41" t="n">
        <v>5.4979</v>
      </c>
      <c r="C116" s="41" t="n">
        <v>4.1178</v>
      </c>
      <c r="D116" s="42" t="n">
        <v>5.502</v>
      </c>
      <c r="E116" s="43" t="n">
        <v>2.8718</v>
      </c>
      <c r="F116" s="41">
        <f>(MAX(B116:C116)-MIN(B116:C116))/E116</f>
        <v/>
      </c>
      <c r="G116" s="13" t="inlineStr">
        <is>
          <t>Mental state</t>
        </is>
      </c>
    </row>
    <row r="117">
      <c r="A117" s="5" t="inlineStr">
        <is>
          <t>Mental fatigue (1-10)</t>
        </is>
      </c>
      <c r="B117" s="41" t="n">
        <v>5.4961</v>
      </c>
      <c r="C117" s="41" t="n">
        <v>4.1167</v>
      </c>
      <c r="D117" s="42" t="n">
        <v>5.4996</v>
      </c>
      <c r="E117" s="43" t="n">
        <v>2.872</v>
      </c>
      <c r="F117" s="41">
        <f>(MAX(B117:C117)-MIN(B117:C117))/E117</f>
        <v/>
      </c>
      <c r="G117" s="13" t="inlineStr">
        <is>
          <t>Mental state</t>
        </is>
      </c>
    </row>
    <row r="118">
      <c r="A118" s="5" t="inlineStr">
        <is>
          <t>Job satisfaction (1-10)</t>
        </is>
      </c>
      <c r="B118" s="41" t="n">
        <v>5.5077</v>
      </c>
      <c r="C118" s="41" t="n">
        <v>6.8845</v>
      </c>
      <c r="D118" s="42" t="n">
        <v>5.5009</v>
      </c>
      <c r="E118" s="43" t="n">
        <v>2.8725</v>
      </c>
      <c r="F118" s="41">
        <f>(MAX(B118:C118)-MIN(B118:C118))/E118</f>
        <v/>
      </c>
      <c r="G118" s="13" t="inlineStr">
        <is>
          <t>Mental state</t>
        </is>
      </c>
    </row>
    <row r="119">
      <c r="A119" s="5" t="inlineStr">
        <is>
          <t>Concentration (1-10)</t>
        </is>
      </c>
      <c r="B119" s="41" t="n">
        <v>5.4792</v>
      </c>
      <c r="C119" s="41" t="n">
        <v>6.8447</v>
      </c>
      <c r="D119" s="42" t="n">
        <v>5.5012</v>
      </c>
      <c r="E119" s="43" t="n">
        <v>2.8718</v>
      </c>
      <c r="F119" s="41">
        <f>(MAX(B119:C119)-MIN(B119:C119))/E119</f>
        <v/>
      </c>
      <c r="G119" s="13" t="inlineStr">
        <is>
          <t>Focus &amp; output</t>
        </is>
      </c>
    </row>
    <row r="120">
      <c r="A120" s="5" t="inlineStr">
        <is>
          <t>Distractions per day</t>
        </is>
      </c>
      <c r="B120" s="41" t="n">
        <v>60.2986</v>
      </c>
      <c r="C120" s="41" t="n">
        <v>43.9662</v>
      </c>
      <c r="D120" s="42" t="n">
        <v>60.0335</v>
      </c>
      <c r="E120" s="43" t="n">
        <v>34.3501</v>
      </c>
      <c r="F120" s="41">
        <f>(MAX(B120:C120)-MIN(B120:C120))/E120</f>
        <v/>
      </c>
      <c r="G120" s="13" t="inlineStr">
        <is>
          <t>Focus &amp; output</t>
        </is>
      </c>
    </row>
    <row r="121">
      <c r="A121" s="5" t="inlineStr">
        <is>
          <t>Focus sessions per day</t>
        </is>
      </c>
      <c r="B121" s="41" t="n">
        <v>4.4775</v>
      </c>
      <c r="C121" s="41" t="n">
        <v>5.8364</v>
      </c>
      <c r="D121" s="42" t="n">
        <v>4.5005</v>
      </c>
      <c r="E121" s="43" t="n">
        <v>2.8727</v>
      </c>
      <c r="F121" s="41">
        <f>(MAX(B121:C121)-MIN(B121:C121))/E121</f>
        <v/>
      </c>
      <c r="G121" s="13" t="inlineStr">
        <is>
          <t>Focus &amp; output</t>
        </is>
      </c>
    </row>
    <row r="122">
      <c r="A122" s="5" t="inlineStr">
        <is>
          <t>Task completion rate (%)</t>
        </is>
      </c>
      <c r="B122" s="41" t="n">
        <v>69.8857</v>
      </c>
      <c r="C122" s="41" t="n">
        <v>78.2076</v>
      </c>
      <c r="D122" s="42" t="n">
        <v>69.9973</v>
      </c>
      <c r="E122" s="43" t="n">
        <v>17.6012</v>
      </c>
      <c r="F122" s="41">
        <f>(MAX(B122:C122)-MIN(B122:C122))/E122</f>
        <v/>
      </c>
      <c r="G122" s="13" t="inlineStr">
        <is>
          <t>Focus &amp; output</t>
        </is>
      </c>
    </row>
    <row r="123">
      <c r="A123" s="5" t="inlineStr">
        <is>
          <t>Late-night device use (0/1)</t>
        </is>
      </c>
      <c r="B123" s="41" t="n">
        <v>0.4446</v>
      </c>
      <c r="C123" s="41" t="n">
        <v>0.6569</v>
      </c>
      <c r="D123" s="42" t="n">
        <v>0.65</v>
      </c>
      <c r="E123" s="43" t="n">
        <v>0.477</v>
      </c>
      <c r="F123" s="41">
        <f>(MAX(B123:C123)-MIN(B123:C123))/E123</f>
        <v/>
      </c>
      <c r="G123" s="13" t="inlineStr">
        <is>
          <t>Digital load</t>
        </is>
      </c>
    </row>
    <row r="124">
      <c r="A124" s="5" t="inlineStr">
        <is>
          <t>Phone unlocks per day</t>
        </is>
      </c>
      <c r="B124" s="41" t="n">
        <v>124.0034</v>
      </c>
      <c r="C124" s="41" t="n">
        <v>157.2272</v>
      </c>
      <c r="D124" s="42" t="n">
        <v>157.0431</v>
      </c>
      <c r="E124" s="43" t="n">
        <v>82.2816</v>
      </c>
      <c r="F124" s="41">
        <f>(MAX(B124:C124)-MIN(B124:C124))/E124</f>
        <v/>
      </c>
      <c r="G124" s="13" t="inlineStr">
        <is>
          <t>Digital load</t>
        </is>
      </c>
    </row>
    <row r="125">
      <c r="A125" s="5" t="inlineStr">
        <is>
          <t>Notifications per day</t>
        </is>
      </c>
      <c r="B125" s="41" t="n">
        <v>165.3901</v>
      </c>
      <c r="C125" s="41" t="n">
        <v>209.3776</v>
      </c>
      <c r="D125" s="42" t="n">
        <v>209.438</v>
      </c>
      <c r="E125" s="43" t="n">
        <v>109.6646</v>
      </c>
      <c r="F125" s="41">
        <f>(MAX(B125:C125)-MIN(B125:C125))/E125</f>
        <v/>
      </c>
      <c r="G125" s="13" t="inlineStr">
        <is>
          <t>Digital load</t>
        </is>
      </c>
    </row>
    <row r="126">
      <c r="A126" s="5" t="inlineStr">
        <is>
          <t>App switches per day</t>
        </is>
      </c>
      <c r="B126" s="41" t="n">
        <v>101.8336</v>
      </c>
      <c r="C126" s="41" t="n">
        <v>129.4833</v>
      </c>
      <c r="D126" s="42" t="n">
        <v>129.4981</v>
      </c>
      <c r="E126" s="43" t="n">
        <v>69.2814</v>
      </c>
      <c r="F126" s="41">
        <f>(MAX(B126:C126)-MIN(B126:C126))/E126</f>
        <v/>
      </c>
      <c r="G126" s="13" t="inlineStr">
        <is>
          <t>Digital load</t>
        </is>
      </c>
    </row>
    <row r="127">
      <c r="A127" s="5" t="inlineStr">
        <is>
          <t>Screen time (h/day)</t>
        </is>
      </c>
      <c r="B127" s="41" t="n">
        <v>7.0134</v>
      </c>
      <c r="C127" s="41" t="n">
        <v>8.005000000000001</v>
      </c>
      <c r="D127" s="42" t="n">
        <v>8.000999999999999</v>
      </c>
      <c r="E127" s="43" t="n">
        <v>2.4948</v>
      </c>
      <c r="F127" s="41">
        <f>(MAX(B127:C127)-MIN(B127:C127))/E127</f>
        <v/>
      </c>
      <c r="G127" s="13" t="inlineStr">
        <is>
          <t>Digital load</t>
        </is>
      </c>
    </row>
    <row r="128">
      <c r="A128" s="5" t="inlineStr">
        <is>
          <t>Social media (h/day)</t>
        </is>
      </c>
      <c r="B128" s="41" t="n">
        <v>2.8352</v>
      </c>
      <c r="C128" s="41" t="n">
        <v>3.5105</v>
      </c>
      <c r="D128" s="42" t="n">
        <v>3.5173</v>
      </c>
      <c r="E128" s="43" t="n">
        <v>1.7418</v>
      </c>
      <c r="F128" s="41">
        <f>(MAX(B128:C128)-MIN(B128:C128))/E128</f>
        <v/>
      </c>
      <c r="G128" s="13" t="inlineStr">
        <is>
          <t>Digital load</t>
        </is>
      </c>
    </row>
    <row r="129">
      <c r="A129" s="5" t="inlineStr">
        <is>
          <t>Doomscrolling (h/day)</t>
        </is>
      </c>
      <c r="B129" s="41" t="n">
        <v>1.3989</v>
      </c>
      <c r="C129" s="41" t="n">
        <v>1.8266</v>
      </c>
      <c r="D129" s="42" t="n">
        <v>1.8346</v>
      </c>
      <c r="E129" s="43" t="n">
        <v>1.1322</v>
      </c>
      <c r="F129" s="41">
        <f>(MAX(B129:C129)-MIN(B129:C129))/E129</f>
        <v/>
      </c>
      <c r="G129" s="13" t="inlineStr">
        <is>
          <t>Digital load</t>
        </is>
      </c>
    </row>
    <row r="130">
      <c r="A130" s="5" t="inlineStr">
        <is>
          <t>Physical activity (h/day)</t>
        </is>
      </c>
      <c r="B130" s="41" t="n">
        <v>1.2412</v>
      </c>
      <c r="C130" s="41" t="n">
        <v>1.2372</v>
      </c>
      <c r="D130" s="42" t="n">
        <v>1.2378</v>
      </c>
      <c r="E130" s="43" t="n">
        <v>0.8300999999999999</v>
      </c>
      <c r="F130" s="41">
        <f>(MAX(B130:C130)-MIN(B130:C130))/E130</f>
        <v/>
      </c>
      <c r="G130" s="13" t="inlineStr">
        <is>
          <t>Sleep &amp; recovery</t>
        </is>
      </c>
    </row>
    <row r="131">
      <c r="A131" s="5" t="inlineStr">
        <is>
          <t>Stress (1-10)</t>
        </is>
      </c>
      <c r="B131" s="41" t="n">
        <v>5.4958</v>
      </c>
      <c r="C131" s="41" t="n">
        <v>5.5067</v>
      </c>
      <c r="D131" s="42" t="n">
        <v>5.4995</v>
      </c>
      <c r="E131" s="43" t="n">
        <v>2.8714</v>
      </c>
      <c r="F131" s="41">
        <f>(MAX(B131:C131)-MIN(B131:C131))/E131</f>
        <v/>
      </c>
      <c r="G131" s="13" t="inlineStr">
        <is>
          <t>Sleep &amp; recovery</t>
        </is>
      </c>
    </row>
    <row r="132">
      <c r="A132" s="5" t="inlineStr">
        <is>
          <t>Sleep (h/night)</t>
        </is>
      </c>
      <c r="B132" s="41" t="n">
        <v>6.5044</v>
      </c>
      <c r="C132" s="41" t="n">
        <v>6.5012</v>
      </c>
      <c r="D132" s="42" t="n">
        <v>6.5007</v>
      </c>
      <c r="E132" s="43" t="n">
        <v>1.4586</v>
      </c>
      <c r="F132" s="41">
        <f>(MAX(B132:C132)-MIN(B132:C132))/E132</f>
        <v/>
      </c>
      <c r="G132" s="13" t="inlineStr">
        <is>
          <t>Sleep &amp; recovery</t>
        </is>
      </c>
    </row>
    <row r="133">
      <c r="A133" s="5" t="inlineStr">
        <is>
          <t>Internet stability (1-10)</t>
        </is>
      </c>
      <c r="B133" s="41" t="n">
        <v>5.505</v>
      </c>
      <c r="C133" s="41" t="n">
        <v>5.5001</v>
      </c>
      <c r="D133" s="42" t="n">
        <v>5.5004</v>
      </c>
      <c r="E133" s="43" t="n">
        <v>2.873</v>
      </c>
      <c r="F133" s="41">
        <f>(MAX(B133:C133)-MIN(B133:C133))/E133</f>
        <v/>
      </c>
      <c r="G133" s="13" t="inlineStr">
        <is>
          <t>Work environment</t>
        </is>
      </c>
    </row>
    <row r="134">
      <c r="A134" s="5" t="inlineStr">
        <is>
          <t>Meetings (h/day)</t>
        </is>
      </c>
      <c r="B134" s="41" t="n">
        <v>2.5319</v>
      </c>
      <c r="C134" s="41" t="n">
        <v>2.5295</v>
      </c>
      <c r="D134" s="42" t="n">
        <v>2.5296</v>
      </c>
      <c r="E134" s="43" t="n">
        <v>1.4378</v>
      </c>
      <c r="F134" s="41">
        <f>(MAX(B134:C134)-MIN(B134:C134))/E134</f>
        <v/>
      </c>
      <c r="G134" s="13" t="inlineStr">
        <is>
          <t>Focus &amp; output</t>
        </is>
      </c>
    </row>
    <row r="135">
      <c r="A135" s="5" t="inlineStr">
        <is>
          <t>Caffeine intake (per day, unit not stated)</t>
        </is>
      </c>
      <c r="B135" s="41" t="n">
        <v>3.4988</v>
      </c>
      <c r="C135" s="41" t="n">
        <v>3.5024</v>
      </c>
      <c r="D135" s="42" t="n">
        <v>3.5005</v>
      </c>
      <c r="E135" s="43" t="n">
        <v>2.2914</v>
      </c>
      <c r="F135" s="41">
        <f>(MAX(B135:C135)-MIN(B135:C135))/E135</f>
        <v/>
      </c>
      <c r="G135" s="13" t="inlineStr">
        <is>
          <t>Sleep &amp; recovery</t>
        </is>
      </c>
    </row>
    <row r="136">
      <c r="A136" s="5" t="inlineStr">
        <is>
          <t>Sleep quality (1-10)</t>
        </is>
      </c>
      <c r="B136" s="41" t="n">
        <v>5.5055</v>
      </c>
      <c r="C136" s="41" t="n">
        <v>5.5011</v>
      </c>
      <c r="D136" s="42" t="n">
        <v>5.5026</v>
      </c>
      <c r="E136" s="43" t="n">
        <v>2.872</v>
      </c>
      <c r="F136" s="41">
        <f>(MAX(B136:C136)-MIN(B136:C136))/E136</f>
        <v/>
      </c>
      <c r="G136" s="13" t="inlineStr">
        <is>
          <t>Sleep &amp; recovery</t>
        </is>
      </c>
    </row>
    <row r="137">
      <c r="A137" s="5" t="inlineStr">
        <is>
          <t>Remote days per week</t>
        </is>
      </c>
      <c r="B137" s="41" t="n">
        <v>3.0045</v>
      </c>
      <c r="C137" s="41" t="n">
        <v>3.002</v>
      </c>
      <c r="D137" s="42" t="n">
        <v>3.0006</v>
      </c>
      <c r="E137" s="43" t="n">
        <v>1.9999</v>
      </c>
      <c r="F137" s="41">
        <f>(MAX(B137:C137)-MIN(B137:C137))/E137</f>
        <v/>
      </c>
      <c r="G137" s="13" t="inlineStr">
        <is>
          <t>Work environment</t>
        </is>
      </c>
    </row>
    <row r="138">
      <c r="A138" s="5" t="inlineStr">
        <is>
          <t>Workspace quality (1-10)</t>
        </is>
      </c>
      <c r="B138" s="41" t="n">
        <v>5.4964</v>
      </c>
      <c r="C138" s="41" t="n">
        <v>5.4968</v>
      </c>
      <c r="D138" s="42" t="n">
        <v>5.4984</v>
      </c>
      <c r="E138" s="43" t="n">
        <v>2.8718</v>
      </c>
      <c r="F138" s="41">
        <f>(MAX(B138:C138)-MIN(B138:C138))/E138</f>
        <v/>
      </c>
      <c r="G138" s="13" t="inlineStr">
        <is>
          <t>Work environment</t>
        </is>
      </c>
    </row>
    <row r="141">
      <c r="A141" s="10" t="inlineStr">
        <is>
          <t>d. Correlations inside each group</t>
        </is>
      </c>
    </row>
    <row r="142">
      <c r="A142" s="17" t="inlineStr">
        <is>
          <t>Source: reports/04_within_group_correlation.csv. Bold italic cells with a border: opposite sign to all employees (selection effect). Last two columns: factors with the same direction in every group (formulas using C4 and C5).</t>
        </is>
      </c>
    </row>
    <row r="143" ht="30" customHeight="1">
      <c r="A143" s="3" t="inlineStr">
        <is>
          <t>Factor</t>
        </is>
      </c>
      <c r="B143" s="4" t="inlineStr">
        <is>
          <t>N5 · burnout</t>
        </is>
      </c>
      <c r="C143" s="4" t="inlineStr">
        <is>
          <t>N6 · burnout</t>
        </is>
      </c>
      <c r="D143" s="4" t="inlineStr">
        <is>
          <t>All · burnout</t>
        </is>
      </c>
      <c r="E143" s="4" t="inlineStr">
        <is>
          <t>N5 · productivity</t>
        </is>
      </c>
      <c r="F143" s="4" t="inlineStr">
        <is>
          <t>N6 · productivity</t>
        </is>
      </c>
      <c r="G143" s="4" t="inlineStr">
        <is>
          <t>All · productivity</t>
        </is>
      </c>
      <c r="H143" s="4" t="inlineStr">
        <is>
          <t>Reliable lever (burnout)</t>
        </is>
      </c>
      <c r="I143" s="4" t="inlineStr">
        <is>
          <t>Reliable lever (productivity)</t>
        </is>
      </c>
    </row>
    <row r="144">
      <c r="A144" s="5" t="inlineStr">
        <is>
          <t>Deep work (h/day)</t>
        </is>
      </c>
      <c r="B144" s="18" t="n">
        <v>-0.0158</v>
      </c>
      <c r="C144" s="18" t="n">
        <v>-0.0277</v>
      </c>
      <c r="D144" s="44" t="n">
        <v>-0.0464</v>
      </c>
      <c r="E144" s="18" t="n">
        <v>0.4802</v>
      </c>
      <c r="F144" s="18" t="n">
        <v>0.4567</v>
      </c>
      <c r="G144" s="44" t="n">
        <v>0.5546</v>
      </c>
      <c r="H144" s="13">
        <f>IF(AND(ABS(D144)&gt;=$C$4,ABS(B144)&gt;=$C$5,ABS(C144)&gt;=$C$5,SIGN(B144)=SIGN(D144),SIGN(C144)=SIGN(D144)),IF(D144&gt;0,"✓ higher burnout","✓ lower burnout"),"")</f>
        <v/>
      </c>
      <c r="I144" s="13">
        <f>IF(AND(ABS(G144)&gt;=$C$4,ABS(E144)&gt;=$C$5,ABS(F144)&gt;=$C$5,SIGN(E144)=SIGN(G144),SIGN(F144)=SIGN(G144)),IF(G144&gt;0,"✓ higher productivity","✓ lower productivity"),"")</f>
        <v/>
      </c>
    </row>
    <row r="145">
      <c r="A145" s="5" t="inlineStr">
        <is>
          <t>Emotional exhaustion (1-10)</t>
        </is>
      </c>
      <c r="B145" s="18" t="n">
        <v>0.4602</v>
      </c>
      <c r="C145" s="18" t="n">
        <v>0.4401</v>
      </c>
      <c r="D145" s="44" t="n">
        <v>0.512</v>
      </c>
      <c r="E145" s="18" t="n">
        <v>-0.1258</v>
      </c>
      <c r="F145" s="18" t="n">
        <v>-0.0798</v>
      </c>
      <c r="G145" s="44" t="n">
        <v>-0.1819</v>
      </c>
      <c r="H145" s="13">
        <f>IF(AND(ABS(D145)&gt;=$C$4,ABS(B145)&gt;=$C$5,ABS(C145)&gt;=$C$5,SIGN(B145)=SIGN(D145),SIGN(C145)=SIGN(D145)),IF(D145&gt;0,"✓ higher burnout","✓ lower burnout"),"")</f>
        <v/>
      </c>
      <c r="I145" s="13">
        <f>IF(AND(ABS(G145)&gt;=$C$4,ABS(E145)&gt;=$C$5,ABS(F145)&gt;=$C$5,SIGN(E145)=SIGN(G145),SIGN(F145)=SIGN(G145)),IF(G145&gt;0,"✓ higher productivity","✓ lower productivity"),"")</f>
        <v/>
      </c>
    </row>
    <row r="146">
      <c r="A146" s="5" t="inlineStr">
        <is>
          <t>Stress (1-10)</t>
        </is>
      </c>
      <c r="B146" s="18" t="n">
        <v>0.4104</v>
      </c>
      <c r="C146" s="18" t="n">
        <v>0.4105</v>
      </c>
      <c r="D146" s="44" t="n">
        <v>0.3828</v>
      </c>
      <c r="E146" s="18" t="n">
        <v>-0.1767</v>
      </c>
      <c r="F146" s="18" t="n">
        <v>-0.1654</v>
      </c>
      <c r="G146" s="44" t="n">
        <v>-0.135</v>
      </c>
      <c r="H146" s="13">
        <f>IF(AND(ABS(D146)&gt;=$C$4,ABS(B146)&gt;=$C$5,ABS(C146)&gt;=$C$5,SIGN(B146)=SIGN(D146),SIGN(C146)=SIGN(D146)),IF(D146&gt;0,"✓ higher burnout","✓ lower burnout"),"")</f>
        <v/>
      </c>
      <c r="I146" s="13">
        <f>IF(AND(ABS(G146)&gt;=$C$4,ABS(E146)&gt;=$C$5,ABS(F146)&gt;=$C$5,SIGN(E146)=SIGN(G146),SIGN(F146)=SIGN(G146)),IF(G146&gt;0,"✓ higher productivity","✓ lower productivity"),"")</f>
        <v/>
      </c>
    </row>
    <row r="147">
      <c r="A147" s="5" t="inlineStr">
        <is>
          <t>Task completion rate (%)</t>
        </is>
      </c>
      <c r="B147" s="18" t="n">
        <v>0.0328</v>
      </c>
      <c r="C147" s="18" t="n">
        <v>0.052</v>
      </c>
      <c r="D147" s="44" t="n">
        <v>0.0001</v>
      </c>
      <c r="E147" s="18" t="n">
        <v>0.2001</v>
      </c>
      <c r="F147" s="18" t="n">
        <v>0.1587</v>
      </c>
      <c r="G147" s="44" t="n">
        <v>0.3558</v>
      </c>
      <c r="H147" s="13">
        <f>IF(AND(ABS(D147)&gt;=$C$4,ABS(B147)&gt;=$C$5,ABS(C147)&gt;=$C$5,SIGN(B147)=SIGN(D147),SIGN(C147)=SIGN(D147)),IF(D147&gt;0,"✓ higher burnout","✓ lower burnout"),"")</f>
        <v/>
      </c>
      <c r="I147" s="13">
        <f>IF(AND(ABS(G147)&gt;=$C$4,ABS(E147)&gt;=$C$5,ABS(F147)&gt;=$C$5,SIGN(E147)=SIGN(G147),SIGN(F147)=SIGN(G147)),IF(G147&gt;0,"✓ higher productivity","✓ lower productivity"),"")</f>
        <v/>
      </c>
    </row>
    <row r="148">
      <c r="A148" s="5" t="inlineStr">
        <is>
          <t>Concentration (1-10)</t>
        </is>
      </c>
      <c r="B148" s="18" t="n">
        <v>0.0349</v>
      </c>
      <c r="C148" s="18" t="n">
        <v>0.0496</v>
      </c>
      <c r="D148" s="44" t="n">
        <v>-0</v>
      </c>
      <c r="E148" s="18" t="n">
        <v>0.1853</v>
      </c>
      <c r="F148" s="18" t="n">
        <v>0.1515</v>
      </c>
      <c r="G148" s="44" t="n">
        <v>0.3473</v>
      </c>
      <c r="H148" s="13">
        <f>IF(AND(ABS(D148)&gt;=$C$4,ABS(B148)&gt;=$C$5,ABS(C148)&gt;=$C$5,SIGN(B148)=SIGN(D148),SIGN(C148)=SIGN(D148)),IF(D148&gt;0,"✓ higher burnout","✓ lower burnout"),"")</f>
        <v/>
      </c>
      <c r="I148" s="13">
        <f>IF(AND(ABS(G148)&gt;=$C$4,ABS(E148)&gt;=$C$5,ABS(F148)&gt;=$C$5,SIGN(E148)=SIGN(G148),SIGN(F148)=SIGN(G148)),IF(G148&gt;0,"✓ higher productivity","✓ lower productivity"),"")</f>
        <v/>
      </c>
    </row>
    <row r="149">
      <c r="A149" s="5" t="inlineStr">
        <is>
          <t>Job satisfaction (1-10)</t>
        </is>
      </c>
      <c r="B149" s="18" t="n">
        <v>-0.1271</v>
      </c>
      <c r="C149" s="18" t="n">
        <v>-0.1448</v>
      </c>
      <c r="D149" s="44" t="n">
        <v>-0.2544</v>
      </c>
      <c r="E149" s="18" t="n">
        <v>-0.0181</v>
      </c>
      <c r="F149" s="18" t="n">
        <v>-0.0389</v>
      </c>
      <c r="G149" s="44" t="n">
        <v>0.0905</v>
      </c>
      <c r="H149" s="13">
        <f>IF(AND(ABS(D149)&gt;=$C$4,ABS(B149)&gt;=$C$5,ABS(C149)&gt;=$C$5,SIGN(B149)=SIGN(D149),SIGN(C149)=SIGN(D149)),IF(D149&gt;0,"✓ higher burnout","✓ lower burnout"),"")</f>
        <v/>
      </c>
      <c r="I149" s="13">
        <f>IF(AND(ABS(G149)&gt;=$C$4,ABS(E149)&gt;=$C$5,ABS(F149)&gt;=$C$5,SIGN(E149)=SIGN(G149),SIGN(F149)=SIGN(G149)),IF(G149&gt;0,"✓ higher productivity","✓ lower productivity"),"")</f>
        <v/>
      </c>
    </row>
    <row r="150">
      <c r="A150" s="5" t="inlineStr">
        <is>
          <t>Focus sessions per day</t>
        </is>
      </c>
      <c r="B150" s="18" t="n">
        <v>0.0339</v>
      </c>
      <c r="C150" s="18" t="n">
        <v>0.0503</v>
      </c>
      <c r="D150" s="44" t="n">
        <v>0.0011</v>
      </c>
      <c r="E150" s="18" t="n">
        <v>0.0164</v>
      </c>
      <c r="F150" s="18" t="n">
        <v>-0.0017</v>
      </c>
      <c r="G150" s="44" t="n">
        <v>0.2301</v>
      </c>
      <c r="H150" s="13">
        <f>IF(AND(ABS(D150)&gt;=$C$4,ABS(B150)&gt;=$C$5,ABS(C150)&gt;=$C$5,SIGN(B150)=SIGN(D150),SIGN(C150)=SIGN(D150)),IF(D150&gt;0,"✓ higher burnout","✓ lower burnout"),"")</f>
        <v/>
      </c>
      <c r="I150" s="13">
        <f>IF(AND(ABS(G150)&gt;=$C$4,ABS(E150)&gt;=$C$5,ABS(F150)&gt;=$C$5,SIGN(E150)=SIGN(G150),SIGN(F150)=SIGN(G150)),IF(G150&gt;0,"✓ higher productivity","✓ lower productivity"),"")</f>
        <v/>
      </c>
    </row>
    <row r="151">
      <c r="A151" s="5" t="inlineStr">
        <is>
          <t>Motivation (1-10)</t>
        </is>
      </c>
      <c r="B151" s="18" t="n">
        <v>0.1991</v>
      </c>
      <c r="C151" s="18" t="n">
        <v>0.1418</v>
      </c>
      <c r="D151" s="44" t="n">
        <v>0.0003</v>
      </c>
      <c r="E151" s="18" t="n">
        <v>0.1956</v>
      </c>
      <c r="F151" s="18" t="n">
        <v>0.1427</v>
      </c>
      <c r="G151" s="44" t="n">
        <v>0.229</v>
      </c>
      <c r="H151" s="13">
        <f>IF(AND(ABS(D151)&gt;=$C$4,ABS(B151)&gt;=$C$5,ABS(C151)&gt;=$C$5,SIGN(B151)=SIGN(D151),SIGN(C151)=SIGN(D151)),IF(D151&gt;0,"✓ higher burnout","✓ lower burnout"),"")</f>
        <v/>
      </c>
      <c r="I151" s="13">
        <f>IF(AND(ABS(G151)&gt;=$C$4,ABS(E151)&gt;=$C$5,ABS(F151)&gt;=$C$5,SIGN(E151)=SIGN(G151),SIGN(F151)=SIGN(G151)),IF(G151&gt;0,"✓ higher productivity","✓ lower productivity"),"")</f>
        <v/>
      </c>
    </row>
    <row r="152">
      <c r="A152" s="5" t="inlineStr">
        <is>
          <t>Screen time (h/day)</t>
        </is>
      </c>
      <c r="B152" s="18" t="n">
        <v>0.1872</v>
      </c>
      <c r="C152" s="18" t="n">
        <v>0.2126</v>
      </c>
      <c r="D152" s="44" t="n">
        <v>0.2208</v>
      </c>
      <c r="E152" s="18" t="n">
        <v>-0.0527</v>
      </c>
      <c r="F152" s="18" t="n">
        <v>-0.0689</v>
      </c>
      <c r="G152" s="44" t="n">
        <v>-0.07779999999999999</v>
      </c>
      <c r="H152" s="13">
        <f>IF(AND(ABS(D152)&gt;=$C$4,ABS(B152)&gt;=$C$5,ABS(C152)&gt;=$C$5,SIGN(B152)=SIGN(D152),SIGN(C152)=SIGN(D152)),IF(D152&gt;0,"✓ higher burnout","✓ lower burnout"),"")</f>
        <v/>
      </c>
      <c r="I152" s="13">
        <f>IF(AND(ABS(G152)&gt;=$C$4,ABS(E152)&gt;=$C$5,ABS(F152)&gt;=$C$5,SIGN(E152)=SIGN(G152),SIGN(F152)=SIGN(G152)),IF(G152&gt;0,"✓ higher productivity","✓ lower productivity"),"")</f>
        <v/>
      </c>
    </row>
    <row r="153">
      <c r="A153" s="5" t="inlineStr">
        <is>
          <t>Doomscrolling (h/day)</t>
        </is>
      </c>
      <c r="B153" s="18" t="n">
        <v>0.1523</v>
      </c>
      <c r="C153" s="18" t="n">
        <v>0.1874</v>
      </c>
      <c r="D153" s="44" t="n">
        <v>0.2003</v>
      </c>
      <c r="E153" s="18" t="n">
        <v>-0.0411</v>
      </c>
      <c r="F153" s="18" t="n">
        <v>-0.0579</v>
      </c>
      <c r="G153" s="44" t="n">
        <v>-0.07149999999999999</v>
      </c>
      <c r="H153" s="13">
        <f>IF(AND(ABS(D153)&gt;=$C$4,ABS(B153)&gt;=$C$5,ABS(C153)&gt;=$C$5,SIGN(B153)=SIGN(D153),SIGN(C153)=SIGN(D153)),IF(D153&gt;0,"✓ higher burnout","✓ lower burnout"),"")</f>
        <v/>
      </c>
      <c r="I153" s="13">
        <f>IF(AND(ABS(G153)&gt;=$C$4,ABS(E153)&gt;=$C$5,ABS(F153)&gt;=$C$5,SIGN(E153)=SIGN(G153),SIGN(F153)=SIGN(G153)),IF(G153&gt;0,"✓ higher productivity","✓ lower productivity"),"")</f>
        <v/>
      </c>
    </row>
    <row r="154">
      <c r="A154" s="5" t="inlineStr">
        <is>
          <t>Workspace quality (1-10)</t>
        </is>
      </c>
      <c r="B154" s="18" t="n">
        <v>-0.0003</v>
      </c>
      <c r="C154" s="18" t="n">
        <v>0.0003</v>
      </c>
      <c r="D154" s="44" t="n">
        <v>0.0001</v>
      </c>
      <c r="E154" s="18" t="n">
        <v>0.2266</v>
      </c>
      <c r="F154" s="18" t="n">
        <v>0.2081</v>
      </c>
      <c r="G154" s="44" t="n">
        <v>0.1723</v>
      </c>
      <c r="H154" s="13">
        <f>IF(AND(ABS(D154)&gt;=$C$4,ABS(B154)&gt;=$C$5,ABS(C154)&gt;=$C$5,SIGN(B154)=SIGN(D154),SIGN(C154)=SIGN(D154)),IF(D154&gt;0,"✓ higher burnout","✓ lower burnout"),"")</f>
        <v/>
      </c>
      <c r="I154" s="13">
        <f>IF(AND(ABS(G154)&gt;=$C$4,ABS(E154)&gt;=$C$5,ABS(F154)&gt;=$C$5,SIGN(E154)=SIGN(G154),SIGN(F154)=SIGN(G154)),IF(G154&gt;0,"✓ higher productivity","✓ lower productivity"),"")</f>
        <v/>
      </c>
    </row>
    <row r="155">
      <c r="A155" s="5" t="inlineStr">
        <is>
          <t>Late-night device use (0/1)</t>
        </is>
      </c>
      <c r="B155" s="18" t="n">
        <v>0.1267</v>
      </c>
      <c r="C155" s="18" t="n">
        <v>0.148</v>
      </c>
      <c r="D155" s="44" t="n">
        <v>0.158</v>
      </c>
      <c r="E155" s="18" t="n">
        <v>-0.0273</v>
      </c>
      <c r="F155" s="18" t="n">
        <v>-0.0457</v>
      </c>
      <c r="G155" s="44" t="n">
        <v>-0.0558</v>
      </c>
      <c r="H155" s="13">
        <f>IF(AND(ABS(D155)&gt;=$C$4,ABS(B155)&gt;=$C$5,ABS(C155)&gt;=$C$5,SIGN(B155)=SIGN(D155),SIGN(C155)=SIGN(D155)),IF(D155&gt;0,"✓ higher burnout","✓ lower burnout"),"")</f>
        <v/>
      </c>
      <c r="I155" s="13">
        <f>IF(AND(ABS(G155)&gt;=$C$4,ABS(E155)&gt;=$C$5,ABS(F155)&gt;=$C$5,SIGN(E155)=SIGN(G155),SIGN(F155)=SIGN(G155)),IF(G155&gt;0,"✓ higher productivity","✓ lower productivity"),"")</f>
        <v/>
      </c>
    </row>
    <row r="156">
      <c r="A156" s="5" t="inlineStr">
        <is>
          <t>Distractions per day</t>
        </is>
      </c>
      <c r="B156" s="18" t="n">
        <v>0.1507</v>
      </c>
      <c r="C156" s="18" t="n">
        <v>0.1173</v>
      </c>
      <c r="D156" s="44" t="n">
        <v>0.1522</v>
      </c>
      <c r="E156" s="18" t="n">
        <v>0.2474</v>
      </c>
      <c r="F156" s="18" t="n">
        <v>0.2157</v>
      </c>
      <c r="G156" s="44" t="n">
        <v>-0.0541</v>
      </c>
      <c r="H156" s="13">
        <f>IF(AND(ABS(D156)&gt;=$C$4,ABS(B156)&gt;=$C$5,ABS(C156)&gt;=$C$5,SIGN(B156)=SIGN(D156),SIGN(C156)=SIGN(D156)),IF(D156&gt;0,"✓ higher burnout","✓ lower burnout"),"")</f>
        <v/>
      </c>
      <c r="I156" s="13">
        <f>IF(AND(ABS(G156)&gt;=$C$4,ABS(E156)&gt;=$C$5,ABS(F156)&gt;=$C$5,SIGN(E156)=SIGN(G156),SIGN(F156)=SIGN(G156)),IF(G156&gt;0,"✓ higher productivity","✓ lower productivity"),"")</f>
        <v/>
      </c>
    </row>
    <row r="157">
      <c r="A157" s="5" t="inlineStr">
        <is>
          <t>Social media (h/day)</t>
        </is>
      </c>
      <c r="B157" s="18" t="n">
        <v>-0.0587</v>
      </c>
      <c r="C157" s="18" t="n">
        <v>-0.0303</v>
      </c>
      <c r="D157" s="44" t="n">
        <v>-0.0002</v>
      </c>
      <c r="E157" s="18" t="n">
        <v>-0.1313</v>
      </c>
      <c r="F157" s="18" t="n">
        <v>-0.1438</v>
      </c>
      <c r="G157" s="44" t="n">
        <v>-0.14</v>
      </c>
      <c r="H157" s="13">
        <f>IF(AND(ABS(D157)&gt;=$C$4,ABS(B157)&gt;=$C$5,ABS(C157)&gt;=$C$5,SIGN(B157)=SIGN(D157),SIGN(C157)=SIGN(D157)),IF(D157&gt;0,"✓ higher burnout","✓ lower burnout"),"")</f>
        <v/>
      </c>
      <c r="I157" s="13">
        <f>IF(AND(ABS(G157)&gt;=$C$4,ABS(E157)&gt;=$C$5,ABS(F157)&gt;=$C$5,SIGN(E157)=SIGN(G157),SIGN(F157)=SIGN(G157)),IF(G157&gt;0,"✓ higher productivity","✓ lower productivity"),"")</f>
        <v/>
      </c>
    </row>
    <row r="158">
      <c r="A158" s="5" t="inlineStr">
        <is>
          <t>Sleep (h/night)</t>
        </is>
      </c>
      <c r="B158" s="18" t="n">
        <v>-0.1394</v>
      </c>
      <c r="C158" s="18" t="n">
        <v>-0.1375</v>
      </c>
      <c r="D158" s="44" t="n">
        <v>-0.1294</v>
      </c>
      <c r="E158" s="18" t="n">
        <v>0.061</v>
      </c>
      <c r="F158" s="18" t="n">
        <v>0.0559</v>
      </c>
      <c r="G158" s="44" t="n">
        <v>0.0462</v>
      </c>
      <c r="H158" s="13">
        <f>IF(AND(ABS(D158)&gt;=$C$4,ABS(B158)&gt;=$C$5,ABS(C158)&gt;=$C$5,SIGN(B158)=SIGN(D158),SIGN(C158)=SIGN(D158)),IF(D158&gt;0,"✓ higher burnout","✓ lower burnout"),"")</f>
        <v/>
      </c>
      <c r="I158" s="13">
        <f>IF(AND(ABS(G158)&gt;=$C$4,ABS(E158)&gt;=$C$5,ABS(F158)&gt;=$C$5,SIGN(E158)=SIGN(G158),SIGN(F158)=SIGN(G158)),IF(G158&gt;0,"✓ higher productivity","✓ lower productivity"),"")</f>
        <v/>
      </c>
    </row>
    <row r="159">
      <c r="A159" s="5" t="inlineStr">
        <is>
          <t>Physical activity (h/day)</t>
        </is>
      </c>
      <c r="B159" s="18" t="n">
        <v>-0.1175</v>
      </c>
      <c r="C159" s="18" t="n">
        <v>-0.118</v>
      </c>
      <c r="D159" s="44" t="n">
        <v>-0.1107</v>
      </c>
      <c r="E159" s="18" t="n">
        <v>0.0516</v>
      </c>
      <c r="F159" s="18" t="n">
        <v>0.0473</v>
      </c>
      <c r="G159" s="44" t="n">
        <v>0.04</v>
      </c>
      <c r="H159" s="13">
        <f>IF(AND(ABS(D159)&gt;=$C$4,ABS(B159)&gt;=$C$5,ABS(C159)&gt;=$C$5,SIGN(B159)=SIGN(D159),SIGN(C159)=SIGN(D159)),IF(D159&gt;0,"✓ higher burnout","✓ lower burnout"),"")</f>
        <v/>
      </c>
      <c r="I159" s="13">
        <f>IF(AND(ABS(G159)&gt;=$C$4,ABS(E159)&gt;=$C$5,ABS(F159)&gt;=$C$5,SIGN(E159)=SIGN(G159),SIGN(F159)=SIGN(G159)),IF(G159&gt;0,"✓ higher productivity","✓ lower productivity"),"")</f>
        <v/>
      </c>
    </row>
    <row r="160">
      <c r="A160" s="5" t="inlineStr">
        <is>
          <t>Notifications per day</t>
        </is>
      </c>
      <c r="B160" s="18" t="n">
        <v>0.0426</v>
      </c>
      <c r="C160" s="18" t="n">
        <v>0.0755</v>
      </c>
      <c r="D160" s="44" t="n">
        <v>0.09669999999999999</v>
      </c>
      <c r="E160" s="18" t="n">
        <v>0.008800000000000001</v>
      </c>
      <c r="F160" s="18" t="n">
        <v>-0.0113</v>
      </c>
      <c r="G160" s="44" t="n">
        <v>-0.0339</v>
      </c>
      <c r="H160" s="13">
        <f>IF(AND(ABS(D160)&gt;=$C$4,ABS(B160)&gt;=$C$5,ABS(C160)&gt;=$C$5,SIGN(B160)=SIGN(D160),SIGN(C160)=SIGN(D160)),IF(D160&gt;0,"✓ higher burnout","✓ lower burnout"),"")</f>
        <v/>
      </c>
      <c r="I160" s="13">
        <f>IF(AND(ABS(G160)&gt;=$C$4,ABS(E160)&gt;=$C$5,ABS(F160)&gt;=$C$5,SIGN(E160)=SIGN(G160),SIGN(F160)=SIGN(G160)),IF(G160&gt;0,"✓ higher productivity","✓ lower productivity"),"")</f>
        <v/>
      </c>
    </row>
    <row r="161">
      <c r="A161" s="5" t="inlineStr">
        <is>
          <t>App switches per day</t>
        </is>
      </c>
      <c r="B161" s="18" t="n">
        <v>-0.0588</v>
      </c>
      <c r="C161" s="18" t="n">
        <v>-0.0324</v>
      </c>
      <c r="D161" s="44" t="n">
        <v>-0.0008</v>
      </c>
      <c r="E161" s="18" t="n">
        <v>-0.0587</v>
      </c>
      <c r="F161" s="18" t="n">
        <v>-0.0735</v>
      </c>
      <c r="G161" s="44" t="n">
        <v>-0.0822</v>
      </c>
      <c r="H161" s="13">
        <f>IF(AND(ABS(D161)&gt;=$C$4,ABS(B161)&gt;=$C$5,ABS(C161)&gt;=$C$5,SIGN(B161)=SIGN(D161),SIGN(C161)=SIGN(D161)),IF(D161&gt;0,"✓ higher burnout","✓ lower burnout"),"")</f>
        <v/>
      </c>
      <c r="I161" s="13">
        <f>IF(AND(ABS(G161)&gt;=$C$4,ABS(E161)&gt;=$C$5,ABS(F161)&gt;=$C$5,SIGN(E161)=SIGN(G161),SIGN(F161)=SIGN(G161)),IF(G161&gt;0,"✓ higher productivity","✓ lower productivity"),"")</f>
        <v/>
      </c>
    </row>
    <row r="162">
      <c r="A162" s="5" t="inlineStr">
        <is>
          <t>Mental fatigue (1-10)</t>
        </is>
      </c>
      <c r="B162" s="18" t="n">
        <v>-0.2003</v>
      </c>
      <c r="C162" s="18" t="n">
        <v>-0.144</v>
      </c>
      <c r="D162" s="44" t="n">
        <v>-0.0001</v>
      </c>
      <c r="E162" s="18" t="n">
        <v>0.1587</v>
      </c>
      <c r="F162" s="18" t="n">
        <v>0.1518</v>
      </c>
      <c r="G162" s="44" t="n">
        <v>0.0005999999999999999</v>
      </c>
      <c r="H162" s="13">
        <f>IF(AND(ABS(D162)&gt;=$C$4,ABS(B162)&gt;=$C$5,ABS(C162)&gt;=$C$5,SIGN(B162)=SIGN(D162),SIGN(C162)=SIGN(D162)),IF(D162&gt;0,"✓ higher burnout","✓ lower burnout"),"")</f>
        <v/>
      </c>
      <c r="I162" s="13">
        <f>IF(AND(ABS(G162)&gt;=$C$4,ABS(E162)&gt;=$C$5,ABS(F162)&gt;=$C$5,SIGN(E162)=SIGN(G162),SIGN(F162)=SIGN(G162)),IF(G162&gt;0,"✓ higher productivity","✓ lower productivity"),"")</f>
        <v/>
      </c>
    </row>
    <row r="163">
      <c r="A163" s="5" t="inlineStr">
        <is>
          <t>Phone unlocks per day</t>
        </is>
      </c>
      <c r="B163" s="18" t="n">
        <v>-0.0611</v>
      </c>
      <c r="C163" s="18" t="n">
        <v>-0.0297</v>
      </c>
      <c r="D163" s="44" t="n">
        <v>-0.0002</v>
      </c>
      <c r="E163" s="18" t="n">
        <v>0.0547</v>
      </c>
      <c r="F163" s="18" t="n">
        <v>0.0304</v>
      </c>
      <c r="G163" s="44" t="n">
        <v>0.0001</v>
      </c>
      <c r="H163" s="13">
        <f>IF(AND(ABS(D163)&gt;=$C$4,ABS(B163)&gt;=$C$5,ABS(C163)&gt;=$C$5,SIGN(B163)=SIGN(D163),SIGN(C163)=SIGN(D163)),IF(D163&gt;0,"✓ higher burnout","✓ lower burnout"),"")</f>
        <v/>
      </c>
      <c r="I163" s="13">
        <f>IF(AND(ABS(G163)&gt;=$C$4,ABS(E163)&gt;=$C$5,ABS(F163)&gt;=$C$5,SIGN(E163)=SIGN(G163),SIGN(F163)=SIGN(G163)),IF(G163&gt;0,"✓ higher productivity","✓ lower productivity"),"")</f>
        <v/>
      </c>
    </row>
    <row r="164">
      <c r="A164" s="21" t="inlineStr">
        <is>
          <t>Why do some cells change sign? The groups were formed from these same measures, so inside a group the measures are tied to each other and some correlations weaken or reverse. Only factors with the same direction in every group should guide decisions.</t>
        </is>
      </c>
    </row>
  </sheetData>
  <conditionalFormatting sqref="B25:D29">
    <cfRule type="colorScale" priority="1">
      <colorScale>
        <cfvo type="num" val="-1.2"/>
        <cfvo type="num" val="0"/>
        <cfvo type="num" val="1.2"/>
        <color rgb="008DB9EE"/>
        <color rgb="00F3F3F1"/>
        <color rgb="00EE9593"/>
      </colorScale>
    </cfRule>
  </conditionalFormatting>
  <conditionalFormatting sqref="G35:G59">
    <cfRule type="dataBar" priority="2">
      <dataBar>
        <cfvo type="num" val="0"/>
        <cfvo type="max"/>
        <color rgb="002A78D6"/>
      </dataBar>
    </cfRule>
  </conditionalFormatting>
  <conditionalFormatting sqref="B65:E84">
    <cfRule type="colorScale" priority="3">
      <colorScale>
        <cfvo type="num" val="-0.55"/>
        <cfvo type="num" val="0"/>
        <cfvo type="num" val="0.55"/>
        <color rgb="008DB9EE"/>
        <color rgb="00F3F3F1"/>
        <color rgb="00EE9593"/>
      </colorScale>
    </cfRule>
  </conditionalFormatting>
  <conditionalFormatting sqref="F65:I84">
    <cfRule type="colorScale" priority="4">
      <colorScale>
        <cfvo type="num" val="-0.55"/>
        <cfvo type="num" val="0"/>
        <cfvo type="num" val="0.55"/>
        <color rgb="00EE9593"/>
        <color rgb="00F3F3F1"/>
        <color rgb="008DB9EE"/>
      </colorScale>
    </cfRule>
  </conditionalFormatting>
  <conditionalFormatting sqref="B65:D84">
    <cfRule type="expression" priority="5" dxfId="1">
      <formula>AND(ABS(B65)&gt;=$C$4,OR(ABS($E65)&lt;0.005,SIGN(B65)&lt;&gt;SIGN($E65)))</formula>
    </cfRule>
  </conditionalFormatting>
  <conditionalFormatting sqref="F65:H84">
    <cfRule type="expression" priority="6" dxfId="1">
      <formula>AND(ABS(F65)&gt;=$C$4,OR(ABS($I65)&lt;0.005,SIGN(F65)&lt;&gt;SIGN($I65)))</formula>
    </cfRule>
  </conditionalFormatting>
  <conditionalFormatting sqref="B104:C108">
    <cfRule type="colorScale" priority="7">
      <colorScale>
        <cfvo type="num" val="-1.2"/>
        <cfvo type="num" val="0"/>
        <cfvo type="num" val="1.2"/>
        <color rgb="008DB9EE"/>
        <color rgb="00F3F3F1"/>
        <color rgb="00EE9593"/>
      </colorScale>
    </cfRule>
  </conditionalFormatting>
  <conditionalFormatting sqref="F114:F138">
    <cfRule type="dataBar" priority="8">
      <dataBar>
        <cfvo type="num" val="0"/>
        <cfvo type="max"/>
        <color rgb="002A78D6"/>
      </dataBar>
    </cfRule>
  </conditionalFormatting>
  <conditionalFormatting sqref="B144:D163">
    <cfRule type="colorScale" priority="9">
      <colorScale>
        <cfvo type="num" val="-0.55"/>
        <cfvo type="num" val="0"/>
        <cfvo type="num" val="0.55"/>
        <color rgb="008DB9EE"/>
        <color rgb="00F3F3F1"/>
        <color rgb="00EE9593"/>
      </colorScale>
    </cfRule>
  </conditionalFormatting>
  <conditionalFormatting sqref="E144:G163">
    <cfRule type="colorScale" priority="10">
      <colorScale>
        <cfvo type="num" val="-0.55"/>
        <cfvo type="num" val="0"/>
        <cfvo type="num" val="0.55"/>
        <color rgb="00EE9593"/>
        <color rgb="00F3F3F1"/>
        <color rgb="008DB9EE"/>
      </colorScale>
    </cfRule>
  </conditionalFormatting>
  <conditionalFormatting sqref="B144:C163">
    <cfRule type="expression" priority="11" dxfId="1">
      <formula>AND(ABS(B144)&gt;=$C$4,OR(ABS($D144)&lt;0.005,SIGN(B144)&lt;&gt;SIGN($D144)))</formula>
    </cfRule>
  </conditionalFormatting>
  <conditionalFormatting sqref="E144:F163">
    <cfRule type="expression" priority="12" dxfId="1">
      <formula>AND(ABS(E144)&gt;=$C$4,OR(ABS($G144)&lt;0.005,SIGN(E144)&lt;&gt;SIGN($G144)))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30" customWidth="1" min="3" max="3"/>
    <col width="22" customWidth="1" min="4" max="4"/>
    <col width="10" customWidth="1" min="5" max="5"/>
    <col width="32" customWidth="1" min="6" max="6"/>
    <col width="28" customWidth="1" min="7" max="7"/>
    <col width="70" customWidth="1" min="8" max="8"/>
    <col width="40" customWidth="1" min="9" max="9"/>
  </cols>
  <sheetData>
    <row r="1">
      <c r="A1" s="1" t="inlineStr">
        <is>
          <t>Starting points for action</t>
        </is>
      </c>
    </row>
    <row r="2">
      <c r="A2" s="2" t="inlineStr">
        <is>
          <t>The actions are hypotheses to test with a comparison group, then measure again with the listed KPIs</t>
        </is>
      </c>
    </row>
    <row r="4">
      <c r="A4" s="10" t="inlineStr">
        <is>
          <t>By group (ordered by priority)</t>
        </is>
      </c>
    </row>
    <row r="5">
      <c r="A5" s="17" t="inlineStr">
        <is>
          <t>Source: reports/05_playbook.csv. Share links to the 'Groups' sheet.</t>
        </is>
      </c>
    </row>
    <row r="6" ht="30" customHeight="1">
      <c r="A6" s="3" t="inlineStr">
        <is>
          <t>Priority</t>
        </is>
      </c>
      <c r="B6" s="4" t="inlineStr">
        <is>
          <t>Code</t>
        </is>
      </c>
      <c r="C6" s="4" t="inlineStr">
        <is>
          <t>Group</t>
        </is>
      </c>
      <c r="D6" s="4" t="inlineStr">
        <is>
          <t>Risk level</t>
        </is>
      </c>
      <c r="E6" s="4" t="inlineStr">
        <is>
          <t>Share</t>
        </is>
      </c>
      <c r="F6" s="4" t="inlineStr">
        <is>
          <t>Main problems</t>
        </is>
      </c>
      <c r="G6" s="4" t="inlineStr">
        <is>
          <t>Strengths</t>
        </is>
      </c>
      <c r="H6" s="4" t="inlineStr">
        <is>
          <t>Suggested actions</t>
        </is>
      </c>
      <c r="I6" s="4" t="inlineStr">
        <is>
          <t>KPIs to track</t>
        </is>
      </c>
    </row>
    <row r="7" ht="80" customHeight="1">
      <c r="A7" s="45" t="n">
        <v>1</v>
      </c>
      <c r="B7" s="22" t="inlineStr">
        <is>
          <t>N1</t>
        </is>
      </c>
      <c r="C7" s="23" t="inlineStr">
        <is>
          <t>Low focus + mental strain</t>
        </is>
      </c>
      <c r="D7" s="23" t="inlineStr">
        <is>
          <t>Very high</t>
        </is>
      </c>
      <c r="E7" s="20">
        <f>Groups!E7</f>
        <v/>
      </c>
      <c r="F7" s="23" t="inlineStr">
        <is>
          <t>low focus (+1.03 SD)
mental strain (+0.98 SD)</t>
        </is>
      </c>
      <c r="G7" s="23" t="inlineStr">
        <is>
          <t>–</t>
        </is>
      </c>
      <c r="H7" s="23" t="inlineStr">
        <is>
          <t>• Protected deep-work blocks or meeting-free days; fewer context switches
• Training on prioritisation and time management; review the main sources of distraction
• Regular 1:1s with managers; review workload and how clear the goals are
• Recognition and development plans; access to counselling</t>
        </is>
      </c>
      <c r="I7" s="23" t="inlineStr">
        <is>
          <t>Deep-work hours, task completion rate, distractions per day; Emotional exhaustion, job satisfaction, attrition</t>
        </is>
      </c>
    </row>
    <row r="8" ht="48" customHeight="1">
      <c r="A8" s="45" t="n">
        <v>2</v>
      </c>
      <c r="B8" s="22" t="inlineStr">
        <is>
          <t>N2</t>
        </is>
      </c>
      <c r="C8" s="23" t="inlineStr">
        <is>
          <t>Heavy device use</t>
        </is>
      </c>
      <c r="D8" s="23" t="inlineStr">
        <is>
          <t>High</t>
        </is>
      </c>
      <c r="E8" s="20">
        <f>Groups!E8</f>
        <v/>
      </c>
      <c r="F8" s="23" t="inlineStr">
        <is>
          <t>heavy device use (+1.05 SD)</t>
        </is>
      </c>
      <c r="G8" s="23" t="inlineStr">
        <is>
          <t>–</t>
        </is>
      </c>
      <c r="H8" s="23" t="inlineStr">
        <is>
          <t>• Right-to-disconnect policy after hours; turn off non-urgent notifications
• Batch notifications into set times; fewer chat channels; coaching on digital habits</t>
        </is>
      </c>
      <c r="I8" s="23" t="inlineStr">
        <is>
          <t>Screen time, % late-night device use, notifications per day</t>
        </is>
      </c>
    </row>
    <row r="9" ht="48" customHeight="1">
      <c r="A9" s="45" t="n">
        <v>3</v>
      </c>
      <c r="B9" s="22" t="inlineStr">
        <is>
          <t>N3</t>
        </is>
      </c>
      <c r="C9" s="23" t="inlineStr">
        <is>
          <t>Low focus + low mental strain</t>
        </is>
      </c>
      <c r="D9" s="23" t="inlineStr">
        <is>
          <t>High</t>
        </is>
      </c>
      <c r="E9" s="20">
        <f>Groups!E9</f>
        <v/>
      </c>
      <c r="F9" s="23" t="inlineStr">
        <is>
          <t>low focus (+0.93 SD)</t>
        </is>
      </c>
      <c r="G9" s="23" t="inlineStr">
        <is>
          <t>low mental strain (-1.08 SD)</t>
        </is>
      </c>
      <c r="H9" s="23" t="inlineStr">
        <is>
          <t>• Protected deep-work blocks or meeting-free days; fewer context switches
• Training on prioritisation and time management; review the main sources of distraction</t>
        </is>
      </c>
      <c r="I9" s="23" t="inlineStr">
        <is>
          <t>Deep-work hours, task completion rate, distractions per day</t>
        </is>
      </c>
    </row>
    <row r="10" ht="48" customHeight="1">
      <c r="A10" s="45" t="n">
        <v>4</v>
      </c>
      <c r="B10" s="22" t="inlineStr">
        <is>
          <t>N4</t>
        </is>
      </c>
      <c r="C10" s="23" t="inlineStr">
        <is>
          <t>Mental strain + strong focus</t>
        </is>
      </c>
      <c r="D10" s="23" t="inlineStr">
        <is>
          <t>High</t>
        </is>
      </c>
      <c r="E10" s="20">
        <f>Groups!E10</f>
        <v/>
      </c>
      <c r="F10" s="23" t="inlineStr">
        <is>
          <t>mental strain (+1.06 SD)</t>
        </is>
      </c>
      <c r="G10" s="23" t="inlineStr">
        <is>
          <t>strong focus (-0.94 SD)</t>
        </is>
      </c>
      <c r="H10" s="23" t="inlineStr">
        <is>
          <t>• Regular 1:1s with managers; review workload and how clear the goals are
• Recognition and development plans; access to counselling</t>
        </is>
      </c>
      <c r="I10" s="23" t="inlineStr">
        <is>
          <t>Emotional exhaustion, job satisfaction, attrition</t>
        </is>
      </c>
    </row>
    <row r="11" ht="32" customHeight="1">
      <c r="A11" s="45" t="n">
        <v>5</v>
      </c>
      <c r="B11" s="22" t="inlineStr">
        <is>
          <t>N5</t>
        </is>
      </c>
      <c r="C11" s="23" t="inlineStr">
        <is>
          <t>Light device use</t>
        </is>
      </c>
      <c r="D11" s="23" t="inlineStr">
        <is>
          <t>Low</t>
        </is>
      </c>
      <c r="E11" s="20">
        <f>Groups!E11</f>
        <v/>
      </c>
      <c r="F11" s="23" t="inlineStr">
        <is>
          <t>–</t>
        </is>
      </c>
      <c r="G11" s="23" t="inlineStr">
        <is>
          <t>light device use (-1.06 SD)</t>
        </is>
      </c>
      <c r="H11" s="23" t="inlineStr">
        <is>
          <t>• Keep current practices; use as a comparison group and as peer mentors</t>
        </is>
      </c>
      <c r="I11" s="23" t="inlineStr">
        <is>
          <t>Keep current levels; use as a comparison group</t>
        </is>
      </c>
    </row>
    <row r="12" ht="32" customHeight="1">
      <c r="A12" s="45" t="n">
        <v>6</v>
      </c>
      <c r="B12" s="22" t="inlineStr">
        <is>
          <t>N6</t>
        </is>
      </c>
      <c r="C12" s="23" t="inlineStr">
        <is>
          <t>Strong focus + low mental strain</t>
        </is>
      </c>
      <c r="D12" s="23" t="inlineStr">
        <is>
          <t>Low</t>
        </is>
      </c>
      <c r="E12" s="20">
        <f>Groups!E12</f>
        <v/>
      </c>
      <c r="F12" s="23" t="inlineStr">
        <is>
          <t>–</t>
        </is>
      </c>
      <c r="G12" s="23" t="inlineStr">
        <is>
          <t>strong focus (-1.04 SD)
low mental strain (-0.96 SD)</t>
        </is>
      </c>
      <c r="H12" s="23" t="inlineStr">
        <is>
          <t>• Keep current practices; use as a comparison group and as peer mentors</t>
        </is>
      </c>
      <c r="I12" s="23" t="inlineStr">
        <is>
          <t>Keep current levels; use as a comparison group</t>
        </is>
      </c>
    </row>
    <row r="15">
      <c r="A15" s="10" t="inlineStr">
        <is>
          <t>Company-wide</t>
        </is>
      </c>
    </row>
    <row r="16">
      <c r="A16" s="17" t="inlineStr">
        <is>
          <t>Warning signs at almost the same rate in every group (see 'Warning signs by group').</t>
        </is>
      </c>
    </row>
    <row r="17" ht="30" customHeight="1">
      <c r="A17" s="3" t="inlineStr">
        <is>
          <t>Warning sign</t>
        </is>
      </c>
      <c r="B17" s="4" t="inlineStr">
        <is>
          <t>Share</t>
        </is>
      </c>
      <c r="C17" s="4" t="inlineStr">
        <is>
          <t>Gap between groups (pp)</t>
        </is>
      </c>
      <c r="D17" s="4" t="inlineStr">
        <is>
          <t>Company-wide action</t>
        </is>
      </c>
    </row>
    <row r="18" ht="30" customHeight="1">
      <c r="A18" s="5" t="inlineStr">
        <is>
          <t>Sleep under 6 h</t>
        </is>
      </c>
      <c r="B18" s="20" t="n">
        <v>0.3495</v>
      </c>
      <c r="C18" s="38" t="n">
        <v>0.09</v>
      </c>
      <c r="D18" s="23" t="inlineStr">
        <is>
          <t>Company-wide sleep health programme; no work messages after 9 pm</t>
        </is>
      </c>
    </row>
    <row r="19" ht="30" customHeight="1">
      <c r="A19" s="5" t="inlineStr">
        <is>
          <t>High stress (8+)</t>
        </is>
      </c>
      <c r="B19" s="20" t="n">
        <v>0.2999</v>
      </c>
      <c r="C19" s="38" t="n">
        <v>0.18</v>
      </c>
      <c r="D19" s="23" t="inlineStr">
        <is>
          <t>Employee assistance programme (EAP) and stress-management training at all levels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Method and limitations</t>
        </is>
      </c>
    </row>
    <row r="2">
      <c r="A2" s="2" t="inlineStr">
        <is>
          <t>Short summary; code and details are in the notebook</t>
        </is>
      </c>
    </row>
    <row r="4" ht="30" customHeight="1">
      <c r="A4" s="3" t="inlineStr">
        <is>
          <t>Item</t>
        </is>
      </c>
      <c r="B4" s="4" t="inlineStr">
        <is>
          <t>Detail</t>
        </is>
      </c>
    </row>
    <row r="5">
      <c r="A5" s="22" t="inlineStr">
        <is>
          <t>Data</t>
        </is>
      </c>
      <c r="B5" s="46" t="inlineStr">
        <is>
          <t>5,000,000 employees × 34 columns; synthetic dataset from Kaggle</t>
        </is>
      </c>
    </row>
    <row r="6">
      <c r="A6" s="22" t="inlineStr">
        <is>
          <t>Source</t>
        </is>
      </c>
      <c r="B6" s="47" t="inlineStr">
        <is>
          <t>https://www.kaggle.com/datasets/aiexplorer77/digital-burnout-and-productivity-analytics</t>
        </is>
      </c>
    </row>
    <row r="7">
      <c r="A7" s="22" t="inlineStr">
        <is>
          <t>Step 1</t>
        </is>
      </c>
      <c r="B7" s="46" t="inlineStr">
        <is>
          <t>Combine 25 measures into 5 problem scores: Digital overload, Poor recovery, Focus capacity, Mental strain, Work environment</t>
        </is>
      </c>
    </row>
    <row r="8">
      <c r="A8" s="22" t="inlineStr">
        <is>
          <t>Step 2</t>
        </is>
      </c>
      <c r="B8" s="46" t="inlineStr">
        <is>
          <t>Weight each score by |r| with burnout and with productivity (both outcomes count equally)</t>
        </is>
      </c>
    </row>
    <row r="9">
      <c r="A9" s="22" t="inlineStr">
        <is>
          <t>Step 3</t>
        </is>
      </c>
      <c r="B9" s="46" t="inlineStr">
        <is>
          <t>Choose k = 6: most stable (ARI of 0.8 or more across 5 runs) and best outcome separation among k = 3-6</t>
        </is>
      </c>
    </row>
    <row r="10">
      <c r="A10" s="22" t="inlineStr">
        <is>
          <t>Step 4</t>
        </is>
      </c>
      <c r="B10" s="46" t="inlineStr">
        <is>
          <t>K-Means on the full data; checked against Gaussian Mixture and Ward clustering</t>
        </is>
      </c>
    </row>
    <row r="11">
      <c r="A11" s="22" t="inlineStr">
        <is>
          <t>Stability across 5 runs (ARI)</t>
        </is>
      </c>
      <c r="B11" s="48" t="n">
        <v>0.916</v>
      </c>
    </row>
    <row r="12">
      <c r="A12" s="22" t="inlineStr">
        <is>
          <t>Stability with equal weights (ARI)</t>
        </is>
      </c>
      <c r="B12" s="48" t="n">
        <v>0.35</v>
      </c>
    </row>
    <row r="13">
      <c r="A13" s="22" t="inlineStr">
        <is>
          <t>300k sample vs full data (ARI)</t>
        </is>
      </c>
      <c r="B13" s="48" t="n">
        <v>0.986</v>
      </c>
    </row>
    <row r="14">
      <c r="A14" s="22" t="inlineStr">
        <is>
          <t>K-Means vs Gaussian Mixture (ARI)</t>
        </is>
      </c>
      <c r="B14" s="48" t="n">
        <v>0.8149999999999999</v>
      </c>
    </row>
    <row r="15">
      <c r="A15" s="22" t="inlineStr">
        <is>
          <t>K-Means vs Ward (ARI)</t>
        </is>
      </c>
      <c r="B15" s="48" t="n">
        <v>0.264</v>
      </c>
    </row>
    <row r="16">
      <c r="A16" s="22" t="inlineStr">
        <is>
          <t>Silhouette</t>
        </is>
      </c>
      <c r="B16" s="48" t="n">
        <v>0.168</v>
      </c>
    </row>
    <row r="17">
      <c r="A17" s="22" t="inlineStr">
        <is>
          <t>eta² productivity / burnout</t>
        </is>
      </c>
      <c r="B17" s="46" t="inlineStr">
        <is>
          <t>0.373 / 0.133</t>
        </is>
      </c>
    </row>
    <row r="18">
      <c r="A18" s="22" t="inlineStr">
        <is>
          <t>Limitation 1</t>
        </is>
      </c>
      <c r="B18" s="46" t="inlineStr">
        <is>
          <t>The data is synthetic: the input factors are almost unrelated to each other, which is rare in real data. Re-run on real HR data before making decisions.</t>
        </is>
      </c>
    </row>
    <row r="19">
      <c r="A19" s="22" t="inlineStr">
        <is>
          <t>Limitation 2</t>
        </is>
      </c>
      <c r="B19" s="46" t="inlineStr">
        <is>
          <t>Correlation is not causation.</t>
        </is>
      </c>
    </row>
    <row r="20">
      <c r="A20" s="22" t="inlineStr">
        <is>
          <t>Limitation 3</t>
        </is>
      </c>
      <c r="B20" s="46" t="inlineStr">
        <is>
          <t>The low silhouette means there are no natural clusters; the groups are a practical way to divide the risk space.</t>
        </is>
      </c>
    </row>
    <row r="21">
      <c r="A21" s="22" t="inlineStr">
        <is>
          <t>Limitation 4</t>
        </is>
      </c>
      <c r="B21" s="46" t="inlineStr">
        <is>
          <t>Correlations inside a group can change sign because of how the groups were formed (selection effect / Berkson's paradox).</t>
        </is>
      </c>
    </row>
    <row r="22">
      <c r="A22" s="22" t="inlineStr">
        <is>
          <t>How to use this file</t>
        </is>
      </c>
      <c r="B22" s="46" t="inlineStr">
        <is>
          <t>The workbook uses formulas and recalculates when opened. Blue bold cells on a light-blue fill are inputs you can change.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2026-09-22T10:43:47Z</dcterms:created>
  <dcterms:modified xsi:type="dcterms:W3CDTF">2026-09-22T10:43:48Z</dcterms:modified>
</cp:coreProperties>
</file>